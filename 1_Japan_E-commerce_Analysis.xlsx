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FIRDOSH\Downloads\"/>
    </mc:Choice>
  </mc:AlternateContent>
  <xr:revisionPtr revIDLastSave="479" documentId="8_{7AF14EF4-2B34-4EA8-ADF1-91961B123157}" xr6:coauthVersionLast="47" xr6:coauthVersionMax="47" xr10:uidLastSave="{84EDA576-8639-4509-BE7C-CB6B5D469D9C}"/>
  <bookViews>
    <workbookView xWindow="-120" yWindow="-120" windowWidth="20730" windowHeight="11160" activeTab="1" xr2:uid="{9F7FE066-07FA-4672-8939-016EF3DE6E7D}"/>
  </bookViews>
  <sheets>
    <sheet name="Row_data" sheetId="2" r:id="rId1"/>
    <sheet name="clean_data " sheetId="3" r:id="rId2"/>
    <sheet name="Pivot_table" sheetId="5" r:id="rId3"/>
    <sheet name="Dashbord" sheetId="6" r:id="rId4"/>
  </sheets>
  <externalReferences>
    <externalReference r:id="rId5"/>
  </externalReferences>
  <definedNames>
    <definedName name="Slicer_Category">#N/A</definedName>
    <definedName name="Slicer_Quarter">#N/A</definedName>
    <definedName name="Slicer_Region">#N/A</definedName>
    <definedName name="Slicer_Year">#N/A</definedName>
  </definedNames>
  <calcPr calcId="191029"/>
  <pivotCaches>
    <pivotCache cacheId="4"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6" l="1"/>
  <c r="C2" i="6"/>
  <c r="O3" i="3"/>
  <c r="O2" i="3"/>
  <c r="D2" i="6"/>
  <c r="A2" i="6"/>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alcChain>
</file>

<file path=xl/sharedStrings.xml><?xml version="1.0" encoding="utf-8"?>
<sst xmlns="http://schemas.openxmlformats.org/spreadsheetml/2006/main" count="481" uniqueCount="66">
  <si>
    <t>Year</t>
  </si>
  <si>
    <t>Quarter</t>
  </si>
  <si>
    <t>Category</t>
  </si>
  <si>
    <t>Sub-Category</t>
  </si>
  <si>
    <t>Total_Sales</t>
  </si>
  <si>
    <t>Online_Sales</t>
  </si>
  <si>
    <t>Online_Penetration</t>
  </si>
  <si>
    <t>YoY_Growth</t>
  </si>
  <si>
    <t>Region</t>
  </si>
  <si>
    <t>Customer_Segment</t>
  </si>
  <si>
    <t>Marketing_Spend</t>
  </si>
  <si>
    <t>Return_Rate</t>
  </si>
  <si>
    <t>Q4</t>
  </si>
  <si>
    <t>Electronics</t>
  </si>
  <si>
    <t>Smartphones</t>
  </si>
  <si>
    <t>Kanto</t>
  </si>
  <si>
    <t>Youth</t>
  </si>
  <si>
    <t>Laptops</t>
  </si>
  <si>
    <t>Kansai</t>
  </si>
  <si>
    <t>Professionals</t>
  </si>
  <si>
    <t>TVs</t>
  </si>
  <si>
    <t>Kyushu</t>
  </si>
  <si>
    <t>Families</t>
  </si>
  <si>
    <t>Fashion</t>
  </si>
  <si>
    <t>Women's Apparel</t>
  </si>
  <si>
    <t>Women</t>
  </si>
  <si>
    <t>Men's Apparel</t>
  </si>
  <si>
    <t>Men</t>
  </si>
  <si>
    <t>Footwear</t>
  </si>
  <si>
    <t>Food</t>
  </si>
  <si>
    <t>Packaged Foods</t>
  </si>
  <si>
    <t>Countrywide</t>
  </si>
  <si>
    <t>Fresh Produce</t>
  </si>
  <si>
    <t>Beauty</t>
  </si>
  <si>
    <t>Skincare</t>
  </si>
  <si>
    <t>Makeup</t>
  </si>
  <si>
    <t>Q3</t>
  </si>
  <si>
    <t>Q2</t>
  </si>
  <si>
    <t>Q1</t>
  </si>
  <si>
    <t>Profit_Margin</t>
  </si>
  <si>
    <t>Growth_Status</t>
  </si>
  <si>
    <t>Marketing_ROI</t>
  </si>
  <si>
    <t>Sales_Per_Million</t>
  </si>
  <si>
    <t>Row Labels</t>
  </si>
  <si>
    <t>Grand Total</t>
  </si>
  <si>
    <t>Sum of Online_Sales</t>
  </si>
  <si>
    <t>(All)</t>
  </si>
  <si>
    <t>Average of YoY_Growth</t>
  </si>
  <si>
    <t>Average of Marketing_ROI</t>
  </si>
  <si>
    <t>Sum of YoY_Growth</t>
  </si>
  <si>
    <t>Avg Growth</t>
  </si>
  <si>
    <t>Max ROI</t>
  </si>
  <si>
    <t>Top Category</t>
  </si>
  <si>
    <t>Total Sales</t>
  </si>
  <si>
    <t>Column1</t>
  </si>
  <si>
    <t>Column2</t>
  </si>
  <si>
    <t>Column3</t>
  </si>
  <si>
    <t>Column4</t>
  </si>
  <si>
    <t>KEY INSIGHTS</t>
  </si>
  <si>
    <t xml:space="preserve">  . 📈 Electronics has highest sales ((¥9,248B)</t>
  </si>
  <si>
    <t xml:space="preserve">  🚀 Beauty is fastest  growing (15.7% YoY)</t>
  </si>
  <si>
    <t xml:space="preserve"> 💡 Food has low online penetration - BIG OPPORTUNITY</t>
  </si>
  <si>
    <t>🎯 Kanto region generates 45% of total sales</t>
  </si>
  <si>
    <t>📊  Marketing ROI highest for Electronics (5.67x)</t>
  </si>
  <si>
    <t>Column5</t>
  </si>
  <si>
    <t>Column6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</si>
</sst>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11]#,##0"/>
    <numFmt numFmtId="165" formatCode="[$¥-411]#,##0.00"/>
    <numFmt numFmtId="166" formatCode="[$¥-411]#,##0.0"/>
    <numFmt numFmtId="167" formatCode="0.0%"/>
  </numFmts>
  <fonts count="5" x14ac:knownFonts="1">
    <font>
      <sz val="11"/>
      <color theme="1"/>
      <name val="Calibri"/>
      <family val="2"/>
      <scheme val="minor"/>
    </font>
    <font>
      <b/>
      <sz val="18"/>
      <color theme="0"/>
      <name val="Calibri"/>
      <family val="2"/>
      <scheme val="minor"/>
    </font>
    <font>
      <b/>
      <sz val="18"/>
      <color theme="1"/>
      <name val="Calibri"/>
      <family val="2"/>
      <scheme val="minor"/>
    </font>
    <font>
      <sz val="12"/>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rgb="FF2F5597"/>
        <bgColor indexed="64"/>
      </patternFill>
    </fill>
    <fill>
      <patternFill patternType="solid">
        <fgColor rgb="FFBDD7EE"/>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65" fontId="0" fillId="0" borderId="0" xfId="0" applyNumberFormat="1"/>
    <xf numFmtId="166" fontId="0" fillId="0" borderId="0" xfId="0" applyNumberFormat="1"/>
    <xf numFmtId="165" fontId="1" fillId="2" borderId="1" xfId="0" applyNumberFormat="1" applyFont="1" applyFill="1" applyBorder="1"/>
    <xf numFmtId="0" fontId="1" fillId="2" borderId="1" xfId="0" applyFont="1" applyFill="1" applyBorder="1"/>
    <xf numFmtId="165" fontId="2" fillId="3" borderId="1" xfId="0" applyNumberFormat="1" applyFont="1" applyFill="1" applyBorder="1"/>
    <xf numFmtId="167" fontId="2" fillId="3" borderId="1" xfId="0" applyNumberFormat="1" applyFont="1" applyFill="1" applyBorder="1"/>
    <xf numFmtId="0" fontId="2" fillId="3" borderId="1" xfId="0" applyFont="1" applyFill="1" applyBorder="1"/>
    <xf numFmtId="0" fontId="4" fillId="0" borderId="0" xfId="0" applyFont="1"/>
    <xf numFmtId="0" fontId="3" fillId="0" borderId="0" xfId="0" applyFon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BDD7EE"/>
      <color rgb="FF2F5597"/>
      <color rgb="FF32E7FA"/>
      <color rgb="FF06D4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externalLink" Target="externalLinks/externalLink1.xml"/><Relationship Id="rId15" Type="http://schemas.microsoft.com/office/2017/10/relationships/person" Target="persons/perso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[1_Japan_E-commerce_Analysis.xlsx]Pivot_table!PivotTable2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Pivot_table!$H$4</c:f>
              <c:strCache>
                <c:ptCount val="1"/>
                <c:pt idx="0">
                  <c:v>Sum of Online_Sales</c:v>
                </c:pt>
              </c:strCache>
            </c:strRef>
          </c:tx>
          <c:spPr>
            <a:solidFill>
              <a:schemeClr val="accent1"/>
            </a:solidFill>
            <a:ln>
              <a:noFill/>
            </a:ln>
            <a:effectLst/>
          </c:spPr>
          <c:invertIfNegative val="0"/>
          <c:cat>
            <c:multiLvlStrRef>
              <c:f>Pivot_table!$G$5:$G$16</c:f>
              <c:multiLvlStrCache>
                <c:ptCount val="7"/>
                <c:lvl>
                  <c:pt idx="0">
                    <c:v>Families</c:v>
                  </c:pt>
                  <c:pt idx="1">
                    <c:v>Professionals</c:v>
                  </c:pt>
                  <c:pt idx="2">
                    <c:v>Youth</c:v>
                  </c:pt>
                  <c:pt idx="3">
                    <c:v>Men</c:v>
                  </c:pt>
                  <c:pt idx="4">
                    <c:v>Women</c:v>
                  </c:pt>
                  <c:pt idx="5">
                    <c:v>Youth</c:v>
                  </c:pt>
                  <c:pt idx="6">
                    <c:v>Families</c:v>
                  </c:pt>
                </c:lvl>
                <c:lvl>
                  <c:pt idx="0">
                    <c:v>Countrywide</c:v>
                  </c:pt>
                  <c:pt idx="1">
                    <c:v>Kansai</c:v>
                  </c:pt>
                  <c:pt idx="3">
                    <c:v>Kanto</c:v>
                  </c:pt>
                  <c:pt idx="6">
                    <c:v>Kyushu</c:v>
                  </c:pt>
                </c:lvl>
              </c:multiLvlStrCache>
            </c:multiLvlStrRef>
          </c:cat>
          <c:val>
            <c:numRef>
              <c:f>Pivot_table!$H$5:$H$16</c:f>
              <c:numCache>
                <c:formatCode>[$¥-411]#,##0</c:formatCode>
                <c:ptCount val="7"/>
                <c:pt idx="0">
                  <c:v>1179</c:v>
                </c:pt>
                <c:pt idx="1">
                  <c:v>2442</c:v>
                </c:pt>
                <c:pt idx="2">
                  <c:v>540</c:v>
                </c:pt>
                <c:pt idx="3">
                  <c:v>1849</c:v>
                </c:pt>
                <c:pt idx="4">
                  <c:v>7005</c:v>
                </c:pt>
                <c:pt idx="5">
                  <c:v>6576</c:v>
                </c:pt>
                <c:pt idx="6">
                  <c:v>792</c:v>
                </c:pt>
              </c:numCache>
            </c:numRef>
          </c:val>
          <c:extLst>
            <c:ext xmlns:c16="http://schemas.microsoft.com/office/drawing/2014/chart" uri="{C3380CC4-5D6E-409C-BE32-E72D297353CC}">
              <c16:uniqueId val="{00000000-BA85-40C3-8987-EFD08DED5DC4}"/>
            </c:ext>
          </c:extLst>
        </c:ser>
        <c:ser>
          <c:idx val="1"/>
          <c:order val="1"/>
          <c:tx>
            <c:strRef>
              <c:f>Pivot_table!$I$4</c:f>
              <c:strCache>
                <c:ptCount val="1"/>
                <c:pt idx="0">
                  <c:v>Average of Marketing_ROI</c:v>
                </c:pt>
              </c:strCache>
            </c:strRef>
          </c:tx>
          <c:spPr>
            <a:solidFill>
              <a:schemeClr val="accent2"/>
            </a:solidFill>
            <a:ln>
              <a:noFill/>
            </a:ln>
            <a:effectLst/>
          </c:spPr>
          <c:invertIfNegative val="0"/>
          <c:cat>
            <c:multiLvlStrRef>
              <c:f>Pivot_table!$G$5:$G$16</c:f>
              <c:multiLvlStrCache>
                <c:ptCount val="7"/>
                <c:lvl>
                  <c:pt idx="0">
                    <c:v>Families</c:v>
                  </c:pt>
                  <c:pt idx="1">
                    <c:v>Professionals</c:v>
                  </c:pt>
                  <c:pt idx="2">
                    <c:v>Youth</c:v>
                  </c:pt>
                  <c:pt idx="3">
                    <c:v>Men</c:v>
                  </c:pt>
                  <c:pt idx="4">
                    <c:v>Women</c:v>
                  </c:pt>
                  <c:pt idx="5">
                    <c:v>Youth</c:v>
                  </c:pt>
                  <c:pt idx="6">
                    <c:v>Families</c:v>
                  </c:pt>
                </c:lvl>
                <c:lvl>
                  <c:pt idx="0">
                    <c:v>Countrywide</c:v>
                  </c:pt>
                  <c:pt idx="1">
                    <c:v>Kansai</c:v>
                  </c:pt>
                  <c:pt idx="3">
                    <c:v>Kanto</c:v>
                  </c:pt>
                  <c:pt idx="6">
                    <c:v>Kyushu</c:v>
                  </c:pt>
                </c:lvl>
              </c:multiLvlStrCache>
            </c:multiLvlStrRef>
          </c:cat>
          <c:val>
            <c:numRef>
              <c:f>Pivot_table!$I$5:$I$16</c:f>
              <c:numCache>
                <c:formatCode>[$¥-411]#,##0.00</c:formatCode>
                <c:ptCount val="7"/>
                <c:pt idx="0">
                  <c:v>2.2251007326007324</c:v>
                </c:pt>
                <c:pt idx="1">
                  <c:v>5.6150472996216036</c:v>
                </c:pt>
                <c:pt idx="2">
                  <c:v>4.1538461538461542</c:v>
                </c:pt>
                <c:pt idx="3">
                  <c:v>3.8497712418300654</c:v>
                </c:pt>
                <c:pt idx="4">
                  <c:v>3.7828891647513232</c:v>
                </c:pt>
                <c:pt idx="5">
                  <c:v>4.9008033824657868</c:v>
                </c:pt>
                <c:pt idx="6">
                  <c:v>5.1091666666666669</c:v>
                </c:pt>
              </c:numCache>
            </c:numRef>
          </c:val>
          <c:extLst>
            <c:ext xmlns:c16="http://schemas.microsoft.com/office/drawing/2014/chart" uri="{C3380CC4-5D6E-409C-BE32-E72D297353CC}">
              <c16:uniqueId val="{00000001-BA85-40C3-8987-EFD08DED5DC4}"/>
            </c:ext>
          </c:extLst>
        </c:ser>
        <c:dLbls>
          <c:showLegendKey val="0"/>
          <c:showVal val="0"/>
          <c:showCatName val="0"/>
          <c:showSerName val="0"/>
          <c:showPercent val="0"/>
          <c:showBubbleSize val="0"/>
        </c:dLbls>
        <c:gapWidth val="182"/>
        <c:axId val="2122550415"/>
        <c:axId val="2122548015"/>
      </c:barChart>
      <c:catAx>
        <c:axId val="21225504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548015"/>
        <c:crosses val="autoZero"/>
        <c:auto val="1"/>
        <c:lblAlgn val="ctr"/>
        <c:lblOffset val="100"/>
        <c:noMultiLvlLbl val="0"/>
      </c:catAx>
      <c:valAx>
        <c:axId val="2122548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000" b="1" i="0" u="none">
                    <a:solidFill>
                      <a:schemeClr val="tx1">
                        <a:lumMod val="95000"/>
                        <a:lumOff val="5000"/>
                      </a:schemeClr>
                    </a:solidFill>
                  </a:rPr>
                  <a:t>CATEGORY</a:t>
                </a:r>
                <a:r>
                  <a:rPr lang="en-US" sz="2000" b="1" i="0" u="none" baseline="0">
                    <a:solidFill>
                      <a:schemeClr val="tx1">
                        <a:lumMod val="95000"/>
                        <a:lumOff val="5000"/>
                      </a:schemeClr>
                    </a:solidFill>
                  </a:rPr>
                  <a:t> SALES</a:t>
                </a:r>
              </a:p>
              <a:p>
                <a:pPr>
                  <a:defRPr/>
                </a:pPr>
                <a:endParaRPr lang="en-US" sz="1800" b="0" i="0" u="none">
                  <a:solidFill>
                    <a:schemeClr val="tx1"/>
                  </a:solidFill>
                </a:endParaRPr>
              </a:p>
            </c:rich>
          </c:tx>
          <c:layout>
            <c:manualLayout>
              <c:xMode val="edge"/>
              <c:yMode val="edge"/>
              <c:x val="0.45676462575142485"/>
              <c:y val="1.5227934265010757E-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11]#,##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55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[1_Japan_E-commerce_Analysis.xlsx]Pivot_table!PivotTable3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GROWTH</a:t>
            </a:r>
            <a:r>
              <a:rPr lang="en-US" sz="1600" b="1" baseline="0"/>
              <a:t> TREND OVER TIME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Pivot_table!$M$3</c:f>
              <c:strCache>
                <c:ptCount val="1"/>
                <c:pt idx="0">
                  <c:v>Sum of Online_Sales</c:v>
                </c:pt>
              </c:strCache>
            </c:strRef>
          </c:tx>
          <c:spPr>
            <a:ln w="28575" cap="rnd">
              <a:solidFill>
                <a:schemeClr val="accent1"/>
              </a:solidFill>
              <a:round/>
            </a:ln>
            <a:effectLst/>
          </c:spPr>
          <c:marker>
            <c:symbol val="none"/>
          </c:marker>
          <c:cat>
            <c:multiLvlStrRef>
              <c:f>Pivot_table!$L$4:$L$22</c:f>
              <c:multiLvlStrCache>
                <c:ptCount val="12"/>
                <c:lvl>
                  <c:pt idx="0">
                    <c:v>Q4</c:v>
                  </c:pt>
                  <c:pt idx="1">
                    <c:v>Q4</c:v>
                  </c:pt>
                  <c:pt idx="2">
                    <c:v>Q4</c:v>
                  </c:pt>
                  <c:pt idx="3">
                    <c:v>Q4</c:v>
                  </c:pt>
                  <c:pt idx="4">
                    <c:v>Q1</c:v>
                  </c:pt>
                  <c:pt idx="5">
                    <c:v>Q2</c:v>
                  </c:pt>
                  <c:pt idx="6">
                    <c:v>Q3</c:v>
                  </c:pt>
                  <c:pt idx="7">
                    <c:v>Q4</c:v>
                  </c:pt>
                  <c:pt idx="8">
                    <c:v>Q1</c:v>
                  </c:pt>
                  <c:pt idx="9">
                    <c:v>Q2</c:v>
                  </c:pt>
                  <c:pt idx="10">
                    <c:v>Q3</c:v>
                  </c:pt>
                  <c:pt idx="11">
                    <c:v>Q4</c:v>
                  </c:pt>
                </c:lvl>
                <c:lvl>
                  <c:pt idx="0">
                    <c:v>2018</c:v>
                  </c:pt>
                  <c:pt idx="1">
                    <c:v>2019</c:v>
                  </c:pt>
                  <c:pt idx="2">
                    <c:v>2020</c:v>
                  </c:pt>
                  <c:pt idx="3">
                    <c:v>2021</c:v>
                  </c:pt>
                  <c:pt idx="4">
                    <c:v>2022</c:v>
                  </c:pt>
                  <c:pt idx="8">
                    <c:v>2023</c:v>
                  </c:pt>
                </c:lvl>
              </c:multiLvlStrCache>
            </c:multiLvlStrRef>
          </c:cat>
          <c:val>
            <c:numRef>
              <c:f>Pivot_table!$M$4:$M$22</c:f>
              <c:numCache>
                <c:formatCode>[$¥-411]#,##0.0</c:formatCode>
                <c:ptCount val="12"/>
                <c:pt idx="0">
                  <c:v>304</c:v>
                </c:pt>
                <c:pt idx="1">
                  <c:v>818</c:v>
                </c:pt>
                <c:pt idx="2">
                  <c:v>880</c:v>
                </c:pt>
                <c:pt idx="3">
                  <c:v>1331</c:v>
                </c:pt>
                <c:pt idx="4">
                  <c:v>475</c:v>
                </c:pt>
                <c:pt idx="5">
                  <c:v>1107</c:v>
                </c:pt>
                <c:pt idx="6">
                  <c:v>1168</c:v>
                </c:pt>
                <c:pt idx="7">
                  <c:v>3152</c:v>
                </c:pt>
                <c:pt idx="8">
                  <c:v>1010</c:v>
                </c:pt>
                <c:pt idx="9">
                  <c:v>1798</c:v>
                </c:pt>
                <c:pt idx="10">
                  <c:v>2891</c:v>
                </c:pt>
                <c:pt idx="11">
                  <c:v>5449</c:v>
                </c:pt>
              </c:numCache>
            </c:numRef>
          </c:val>
          <c:smooth val="0"/>
          <c:extLst>
            <c:ext xmlns:c16="http://schemas.microsoft.com/office/drawing/2014/chart" uri="{C3380CC4-5D6E-409C-BE32-E72D297353CC}">
              <c16:uniqueId val="{00000000-C47D-48D0-B8EB-BE75B70BB28E}"/>
            </c:ext>
          </c:extLst>
        </c:ser>
        <c:ser>
          <c:idx val="1"/>
          <c:order val="1"/>
          <c:tx>
            <c:strRef>
              <c:f>Pivot_table!$N$3</c:f>
              <c:strCache>
                <c:ptCount val="1"/>
                <c:pt idx="0">
                  <c:v>Sum of YoY_Growth</c:v>
                </c:pt>
              </c:strCache>
            </c:strRef>
          </c:tx>
          <c:spPr>
            <a:ln w="28575" cap="rnd">
              <a:solidFill>
                <a:schemeClr val="accent2"/>
              </a:solidFill>
              <a:round/>
            </a:ln>
            <a:effectLst/>
          </c:spPr>
          <c:marker>
            <c:symbol val="none"/>
          </c:marker>
          <c:cat>
            <c:multiLvlStrRef>
              <c:f>Pivot_table!$L$4:$L$22</c:f>
              <c:multiLvlStrCache>
                <c:ptCount val="12"/>
                <c:lvl>
                  <c:pt idx="0">
                    <c:v>Q4</c:v>
                  </c:pt>
                  <c:pt idx="1">
                    <c:v>Q4</c:v>
                  </c:pt>
                  <c:pt idx="2">
                    <c:v>Q4</c:v>
                  </c:pt>
                  <c:pt idx="3">
                    <c:v>Q4</c:v>
                  </c:pt>
                  <c:pt idx="4">
                    <c:v>Q1</c:v>
                  </c:pt>
                  <c:pt idx="5">
                    <c:v>Q2</c:v>
                  </c:pt>
                  <c:pt idx="6">
                    <c:v>Q3</c:v>
                  </c:pt>
                  <c:pt idx="7">
                    <c:v>Q4</c:v>
                  </c:pt>
                  <c:pt idx="8">
                    <c:v>Q1</c:v>
                  </c:pt>
                  <c:pt idx="9">
                    <c:v>Q2</c:v>
                  </c:pt>
                  <c:pt idx="10">
                    <c:v>Q3</c:v>
                  </c:pt>
                  <c:pt idx="11">
                    <c:v>Q4</c:v>
                  </c:pt>
                </c:lvl>
                <c:lvl>
                  <c:pt idx="0">
                    <c:v>2018</c:v>
                  </c:pt>
                  <c:pt idx="1">
                    <c:v>2019</c:v>
                  </c:pt>
                  <c:pt idx="2">
                    <c:v>2020</c:v>
                  </c:pt>
                  <c:pt idx="3">
                    <c:v>2021</c:v>
                  </c:pt>
                  <c:pt idx="4">
                    <c:v>2022</c:v>
                  </c:pt>
                  <c:pt idx="8">
                    <c:v>2023</c:v>
                  </c:pt>
                </c:lvl>
              </c:multiLvlStrCache>
            </c:multiLvlStrRef>
          </c:cat>
          <c:val>
            <c:numRef>
              <c:f>Pivot_table!$N$4:$N$22</c:f>
              <c:numCache>
                <c:formatCode>[$¥-411]#,##0.00</c:formatCode>
                <c:ptCount val="12"/>
                <c:pt idx="0">
                  <c:v>3.2</c:v>
                </c:pt>
                <c:pt idx="1">
                  <c:v>8.3000000000000007</c:v>
                </c:pt>
                <c:pt idx="2">
                  <c:v>-5.7</c:v>
                </c:pt>
                <c:pt idx="3">
                  <c:v>11.8</c:v>
                </c:pt>
                <c:pt idx="4">
                  <c:v>4.8</c:v>
                </c:pt>
                <c:pt idx="5">
                  <c:v>12.5</c:v>
                </c:pt>
                <c:pt idx="6">
                  <c:v>13.7</c:v>
                </c:pt>
                <c:pt idx="7">
                  <c:v>43.6</c:v>
                </c:pt>
                <c:pt idx="8">
                  <c:v>12.6</c:v>
                </c:pt>
                <c:pt idx="9">
                  <c:v>23.7</c:v>
                </c:pt>
                <c:pt idx="10">
                  <c:v>39.4</c:v>
                </c:pt>
                <c:pt idx="11">
                  <c:v>88.9</c:v>
                </c:pt>
              </c:numCache>
            </c:numRef>
          </c:val>
          <c:smooth val="0"/>
          <c:extLst>
            <c:ext xmlns:c16="http://schemas.microsoft.com/office/drawing/2014/chart" uri="{C3380CC4-5D6E-409C-BE32-E72D297353CC}">
              <c16:uniqueId val="{00000001-C47D-48D0-B8EB-BE75B70BB28E}"/>
            </c:ext>
          </c:extLst>
        </c:ser>
        <c:dLbls>
          <c:showLegendKey val="0"/>
          <c:showVal val="0"/>
          <c:showCatName val="0"/>
          <c:showSerName val="0"/>
          <c:showPercent val="0"/>
          <c:showBubbleSize val="0"/>
        </c:dLbls>
        <c:smooth val="0"/>
        <c:axId val="2036118943"/>
        <c:axId val="2036119423"/>
      </c:lineChart>
      <c:catAx>
        <c:axId val="203611894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119423"/>
        <c:crosses val="autoZero"/>
        <c:auto val="1"/>
        <c:lblAlgn val="ctr"/>
        <c:lblOffset val="100"/>
        <c:noMultiLvlLbl val="0"/>
      </c:catAx>
      <c:valAx>
        <c:axId val="203611942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11]#,##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11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[1_Japan_E-commerce_Analysis.xlsx]Pivot_table!PivotTable2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GEGIONAL</a:t>
            </a:r>
            <a:r>
              <a:rPr lang="en-US" sz="1800" b="1" baseline="0"/>
              <a:t> SALES DISTRIBUTION</a:t>
            </a:r>
          </a:p>
        </c:rich>
      </c:tx>
      <c:layout>
        <c:manualLayout>
          <c:xMode val="edge"/>
          <c:yMode val="edge"/>
          <c:x val="0.37086177051591207"/>
          <c:y val="7.6797238669105899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s>
    <c:plotArea>
      <c:layout/>
      <c:pieChart>
        <c:varyColors val="1"/>
        <c:ser>
          <c:idx val="0"/>
          <c:order val="0"/>
          <c:tx>
            <c:strRef>
              <c:f>Pivot_table!$H$4</c:f>
              <c:strCache>
                <c:ptCount val="1"/>
                <c:pt idx="0">
                  <c:v>Sum of Online_Sales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47-41D4-8720-A49F7D5238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47-41D4-8720-A49F7D5238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47-41D4-8720-A49F7D5238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047-41D4-8720-A49F7D5238F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047-41D4-8720-A49F7D5238F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047-41D4-8720-A49F7D5238F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047-41D4-8720-A49F7D5238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Pivot_table!$G$5:$G$16</c:f>
              <c:multiLvlStrCache>
                <c:ptCount val="7"/>
                <c:lvl>
                  <c:pt idx="0">
                    <c:v>Families</c:v>
                  </c:pt>
                  <c:pt idx="1">
                    <c:v>Professionals</c:v>
                  </c:pt>
                  <c:pt idx="2">
                    <c:v>Youth</c:v>
                  </c:pt>
                  <c:pt idx="3">
                    <c:v>Men</c:v>
                  </c:pt>
                  <c:pt idx="4">
                    <c:v>Women</c:v>
                  </c:pt>
                  <c:pt idx="5">
                    <c:v>Youth</c:v>
                  </c:pt>
                  <c:pt idx="6">
                    <c:v>Families</c:v>
                  </c:pt>
                </c:lvl>
                <c:lvl>
                  <c:pt idx="0">
                    <c:v>Countrywide</c:v>
                  </c:pt>
                  <c:pt idx="1">
                    <c:v>Kansai</c:v>
                  </c:pt>
                  <c:pt idx="3">
                    <c:v>Kanto</c:v>
                  </c:pt>
                  <c:pt idx="6">
                    <c:v>Kyushu</c:v>
                  </c:pt>
                </c:lvl>
              </c:multiLvlStrCache>
            </c:multiLvlStrRef>
          </c:cat>
          <c:val>
            <c:numRef>
              <c:f>Pivot_table!$H$5:$H$16</c:f>
              <c:numCache>
                <c:formatCode>[$¥-411]#,##0</c:formatCode>
                <c:ptCount val="7"/>
                <c:pt idx="0">
                  <c:v>1179</c:v>
                </c:pt>
                <c:pt idx="1">
                  <c:v>2442</c:v>
                </c:pt>
                <c:pt idx="2">
                  <c:v>540</c:v>
                </c:pt>
                <c:pt idx="3">
                  <c:v>1849</c:v>
                </c:pt>
                <c:pt idx="4">
                  <c:v>7005</c:v>
                </c:pt>
                <c:pt idx="5">
                  <c:v>6576</c:v>
                </c:pt>
                <c:pt idx="6">
                  <c:v>792</c:v>
                </c:pt>
              </c:numCache>
            </c:numRef>
          </c:val>
          <c:extLst>
            <c:ext xmlns:c16="http://schemas.microsoft.com/office/drawing/2014/chart" uri="{C3380CC4-5D6E-409C-BE32-E72D297353CC}">
              <c16:uniqueId val="{0000000E-D047-41D4-8720-A49F7D5238F1}"/>
            </c:ext>
          </c:extLst>
        </c:ser>
        <c:ser>
          <c:idx val="1"/>
          <c:order val="1"/>
          <c:tx>
            <c:strRef>
              <c:f>Pivot_table!$I$4</c:f>
              <c:strCache>
                <c:ptCount val="1"/>
                <c:pt idx="0">
                  <c:v>Average of Marketing_ROI</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D047-41D4-8720-A49F7D5238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D047-41D4-8720-A49F7D5238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D047-41D4-8720-A49F7D5238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D047-41D4-8720-A49F7D5238F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D047-41D4-8720-A49F7D5238F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A-D047-41D4-8720-A49F7D5238F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C-D047-41D4-8720-A49F7D5238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Pivot_table!$G$5:$G$16</c:f>
              <c:multiLvlStrCache>
                <c:ptCount val="7"/>
                <c:lvl>
                  <c:pt idx="0">
                    <c:v>Families</c:v>
                  </c:pt>
                  <c:pt idx="1">
                    <c:v>Professionals</c:v>
                  </c:pt>
                  <c:pt idx="2">
                    <c:v>Youth</c:v>
                  </c:pt>
                  <c:pt idx="3">
                    <c:v>Men</c:v>
                  </c:pt>
                  <c:pt idx="4">
                    <c:v>Women</c:v>
                  </c:pt>
                  <c:pt idx="5">
                    <c:v>Youth</c:v>
                  </c:pt>
                  <c:pt idx="6">
                    <c:v>Families</c:v>
                  </c:pt>
                </c:lvl>
                <c:lvl>
                  <c:pt idx="0">
                    <c:v>Countrywide</c:v>
                  </c:pt>
                  <c:pt idx="1">
                    <c:v>Kansai</c:v>
                  </c:pt>
                  <c:pt idx="3">
                    <c:v>Kanto</c:v>
                  </c:pt>
                  <c:pt idx="6">
                    <c:v>Kyushu</c:v>
                  </c:pt>
                </c:lvl>
              </c:multiLvlStrCache>
            </c:multiLvlStrRef>
          </c:cat>
          <c:val>
            <c:numRef>
              <c:f>Pivot_table!$I$5:$I$16</c:f>
              <c:numCache>
                <c:formatCode>[$¥-411]#,##0.00</c:formatCode>
                <c:ptCount val="7"/>
                <c:pt idx="0">
                  <c:v>2.2251007326007324</c:v>
                </c:pt>
                <c:pt idx="1">
                  <c:v>5.6150472996216036</c:v>
                </c:pt>
                <c:pt idx="2">
                  <c:v>4.1538461538461542</c:v>
                </c:pt>
                <c:pt idx="3">
                  <c:v>3.8497712418300654</c:v>
                </c:pt>
                <c:pt idx="4">
                  <c:v>3.7828891647513232</c:v>
                </c:pt>
                <c:pt idx="5">
                  <c:v>4.9008033824657868</c:v>
                </c:pt>
                <c:pt idx="6">
                  <c:v>5.1091666666666669</c:v>
                </c:pt>
              </c:numCache>
            </c:numRef>
          </c:val>
          <c:extLst>
            <c:ext xmlns:c16="http://schemas.microsoft.com/office/drawing/2014/chart" uri="{C3380CC4-5D6E-409C-BE32-E72D297353CC}">
              <c16:uniqueId val="{0000001D-D047-41D4-8720-A49F7D5238F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148166</xdr:colOff>
      <xdr:row>3</xdr:row>
      <xdr:rowOff>179917</xdr:rowOff>
    </xdr:from>
    <xdr:to>
      <xdr:col>9</xdr:col>
      <xdr:colOff>603250</xdr:colOff>
      <xdr:row>31</xdr:row>
      <xdr:rowOff>169333</xdr:rowOff>
    </xdr:to>
    <xdr:graphicFrame macro="">
      <xdr:nvGraphicFramePr>
        <xdr:cNvPr id="2" name="Chart 1">
          <a:extLst>
            <a:ext uri="{FF2B5EF4-FFF2-40B4-BE49-F238E27FC236}">
              <a16:creationId xmlns:a16="http://schemas.microsoft.com/office/drawing/2014/main" id="{0592ACA4-CA9F-48AD-A34C-F6EBA7414C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820209</xdr:colOff>
      <xdr:row>36</xdr:row>
      <xdr:rowOff>153458</xdr:rowOff>
    </xdr:from>
    <xdr:to>
      <xdr:col>23</xdr:col>
      <xdr:colOff>220928</xdr:colOff>
      <xdr:row>64</xdr:row>
      <xdr:rowOff>121708</xdr:rowOff>
    </xdr:to>
    <xdr:graphicFrame macro="">
      <xdr:nvGraphicFramePr>
        <xdr:cNvPr id="3" name="Chart 2">
          <a:extLst>
            <a:ext uri="{FF2B5EF4-FFF2-40B4-BE49-F238E27FC236}">
              <a16:creationId xmlns:a16="http://schemas.microsoft.com/office/drawing/2014/main" id="{B4ECFC2A-3B6E-4EF9-AC29-A0B56F632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37</xdr:row>
      <xdr:rowOff>27782</xdr:rowOff>
    </xdr:from>
    <xdr:to>
      <xdr:col>12</xdr:col>
      <xdr:colOff>95255</xdr:colOff>
      <xdr:row>65</xdr:row>
      <xdr:rowOff>175948</xdr:rowOff>
    </xdr:to>
    <xdr:graphicFrame macro="">
      <xdr:nvGraphicFramePr>
        <xdr:cNvPr id="4" name="Chart 3">
          <a:extLst>
            <a:ext uri="{FF2B5EF4-FFF2-40B4-BE49-F238E27FC236}">
              <a16:creationId xmlns:a16="http://schemas.microsoft.com/office/drawing/2014/main" id="{2740DB31-5889-4D1D-8ED3-671A328925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-1</xdr:colOff>
      <xdr:row>8</xdr:row>
      <xdr:rowOff>189175</xdr:rowOff>
    </xdr:from>
    <xdr:to>
      <xdr:col>26</xdr:col>
      <xdr:colOff>-1</xdr:colOff>
      <xdr:row>22</xdr:row>
      <xdr:rowOff>46300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40F9C007-30E7-4DF3-9A6B-5F3ECEE6A54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502312" y="1987019"/>
              <a:ext cx="242887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22490</xdr:colOff>
      <xdr:row>8</xdr:row>
      <xdr:rowOff>159014</xdr:rowOff>
    </xdr:from>
    <xdr:to>
      <xdr:col>16</xdr:col>
      <xdr:colOff>1201207</xdr:colOff>
      <xdr:row>22</xdr:row>
      <xdr:rowOff>16139</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3F178206-F06B-4F0C-8FA1-236D6FC164E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321646" y="1956858"/>
              <a:ext cx="2214561"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xdr:colOff>
      <xdr:row>8</xdr:row>
      <xdr:rowOff>179916</xdr:rowOff>
    </xdr:from>
    <xdr:to>
      <xdr:col>13</xdr:col>
      <xdr:colOff>690563</xdr:colOff>
      <xdr:row>22</xdr:row>
      <xdr:rowOff>37041</xdr:rowOff>
    </xdr:to>
    <mc:AlternateContent xmlns:mc="http://schemas.openxmlformats.org/markup-compatibility/2006" xmlns:a14="http://schemas.microsoft.com/office/drawing/2010/main">
      <mc:Choice Requires="a14">
        <xdr:graphicFrame macro="">
          <xdr:nvGraphicFramePr>
            <xdr:cNvPr id="8" name="Quarter 1">
              <a:extLst>
                <a:ext uri="{FF2B5EF4-FFF2-40B4-BE49-F238E27FC236}">
                  <a16:creationId xmlns:a16="http://schemas.microsoft.com/office/drawing/2014/main" id="{2DCF3F57-98E8-46F2-853F-CF5AD459C17F}"/>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8632033" y="1977760"/>
              <a:ext cx="254793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729192</xdr:colOff>
      <xdr:row>9</xdr:row>
      <xdr:rowOff>20109</xdr:rowOff>
    </xdr:from>
    <xdr:to>
      <xdr:col>21</xdr:col>
      <xdr:colOff>23812</xdr:colOff>
      <xdr:row>22</xdr:row>
      <xdr:rowOff>67734</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2D693ACB-7265-45AD-8BE3-0529A78E45D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278630" y="2008453"/>
              <a:ext cx="2414057"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lean_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pan_E-commerce_analysis.xlsx"/>
      <sheetName val="Row_data"/>
      <sheetName val="clean_data "/>
      <sheetName val="Pivot_table"/>
      <sheetName val="clean_data"/>
    </sheetNames>
    <sheetDataSet>
      <sheetData sheetId="0"/>
      <sheetData sheetId="1"/>
      <sheetData sheetId="2">
        <row r="1">
          <cell r="C1" t="str">
            <v>Category</v>
          </cell>
          <cell r="F1" t="str">
            <v>Online_Sales</v>
          </cell>
        </row>
        <row r="2">
          <cell r="C2" t="str">
            <v>Electronics</v>
          </cell>
          <cell r="F2">
            <v>650</v>
          </cell>
        </row>
        <row r="3">
          <cell r="C3" t="str">
            <v>Electronics</v>
          </cell>
          <cell r="F3">
            <v>539</v>
          </cell>
        </row>
        <row r="4">
          <cell r="C4" t="str">
            <v>Electronics</v>
          </cell>
          <cell r="F4">
            <v>410</v>
          </cell>
        </row>
        <row r="5">
          <cell r="C5" t="str">
            <v>Fashion</v>
          </cell>
          <cell r="F5">
            <v>860</v>
          </cell>
        </row>
        <row r="6">
          <cell r="C6" t="str">
            <v>Fashion</v>
          </cell>
          <cell r="F6">
            <v>666</v>
          </cell>
        </row>
        <row r="7">
          <cell r="C7" t="str">
            <v>Fashion</v>
          </cell>
          <cell r="F7">
            <v>540</v>
          </cell>
        </row>
        <row r="8">
          <cell r="C8" t="str">
            <v>Food</v>
          </cell>
          <cell r="F8">
            <v>385</v>
          </cell>
        </row>
        <row r="9">
          <cell r="C9" t="str">
            <v>Food</v>
          </cell>
          <cell r="F9">
            <v>177</v>
          </cell>
        </row>
        <row r="10">
          <cell r="C10" t="str">
            <v>Beauty</v>
          </cell>
          <cell r="F10">
            <v>660</v>
          </cell>
        </row>
        <row r="11">
          <cell r="C11" t="str">
            <v>Beauty</v>
          </cell>
          <cell r="F11">
            <v>562</v>
          </cell>
        </row>
        <row r="12">
          <cell r="C12" t="str">
            <v>Electronics</v>
          </cell>
          <cell r="F12">
            <v>601</v>
          </cell>
        </row>
        <row r="13">
          <cell r="C13" t="str">
            <v>Electronics</v>
          </cell>
          <cell r="F13">
            <v>496</v>
          </cell>
        </row>
        <row r="14">
          <cell r="C14" t="str">
            <v>Electronics</v>
          </cell>
          <cell r="F14">
            <v>382</v>
          </cell>
        </row>
        <row r="15">
          <cell r="C15" t="str">
            <v>Fashion</v>
          </cell>
          <cell r="F15">
            <v>800</v>
          </cell>
        </row>
        <row r="16">
          <cell r="C16" t="str">
            <v>Fashion</v>
          </cell>
          <cell r="F16">
            <v>612</v>
          </cell>
        </row>
        <row r="17">
          <cell r="C17" t="str">
            <v>Electronics</v>
          </cell>
          <cell r="F17">
            <v>571</v>
          </cell>
        </row>
        <row r="18">
          <cell r="C18" t="str">
            <v>Electronics</v>
          </cell>
          <cell r="F18">
            <v>475</v>
          </cell>
        </row>
        <row r="19">
          <cell r="C19" t="str">
            <v>Fashion</v>
          </cell>
          <cell r="F19">
            <v>752</v>
          </cell>
        </row>
        <row r="20">
          <cell r="C20" t="str">
            <v>Electronics</v>
          </cell>
          <cell r="F20">
            <v>551</v>
          </cell>
        </row>
        <row r="21">
          <cell r="C21" t="str">
            <v>Electronics</v>
          </cell>
          <cell r="F21">
            <v>459</v>
          </cell>
        </row>
        <row r="22">
          <cell r="C22" t="str">
            <v>Electronics</v>
          </cell>
          <cell r="F22">
            <v>563</v>
          </cell>
        </row>
        <row r="23">
          <cell r="C23" t="str">
            <v>Electronics</v>
          </cell>
          <cell r="F23">
            <v>473</v>
          </cell>
        </row>
        <row r="24">
          <cell r="C24" t="str">
            <v>Fashion</v>
          </cell>
          <cell r="F24">
            <v>688</v>
          </cell>
        </row>
        <row r="25">
          <cell r="C25" t="str">
            <v>Fashion</v>
          </cell>
          <cell r="F25">
            <v>571</v>
          </cell>
        </row>
        <row r="26">
          <cell r="C26" t="str">
            <v>Food</v>
          </cell>
          <cell r="F26">
            <v>332</v>
          </cell>
        </row>
        <row r="27">
          <cell r="C27" t="str">
            <v>Beauty</v>
          </cell>
          <cell r="F27">
            <v>525</v>
          </cell>
        </row>
        <row r="28">
          <cell r="C28" t="str">
            <v>Electronics</v>
          </cell>
          <cell r="F28">
            <v>525</v>
          </cell>
        </row>
        <row r="29">
          <cell r="C29" t="str">
            <v>Fashion</v>
          </cell>
          <cell r="F29">
            <v>643</v>
          </cell>
        </row>
        <row r="30">
          <cell r="C30" t="str">
            <v>Electronics</v>
          </cell>
          <cell r="F30">
            <v>499</v>
          </cell>
        </row>
        <row r="31">
          <cell r="C31" t="str">
            <v>Fashion</v>
          </cell>
          <cell r="F31">
            <v>608</v>
          </cell>
        </row>
        <row r="32">
          <cell r="C32" t="str">
            <v>Electronics</v>
          </cell>
          <cell r="F32">
            <v>475</v>
          </cell>
        </row>
        <row r="33">
          <cell r="C33" t="str">
            <v>Electronics</v>
          </cell>
          <cell r="F33">
            <v>486</v>
          </cell>
        </row>
        <row r="34">
          <cell r="C34" t="str">
            <v>Fashion</v>
          </cell>
          <cell r="F34">
            <v>560</v>
          </cell>
        </row>
        <row r="35">
          <cell r="C35" t="str">
            <v>Food</v>
          </cell>
          <cell r="F35">
            <v>285</v>
          </cell>
        </row>
        <row r="36">
          <cell r="C36" t="str">
            <v>Electronics</v>
          </cell>
          <cell r="F36">
            <v>418</v>
          </cell>
        </row>
        <row r="37">
          <cell r="C37" t="str">
            <v>Fashion</v>
          </cell>
          <cell r="F37">
            <v>462</v>
          </cell>
        </row>
        <row r="38">
          <cell r="C38" t="str">
            <v>Electronics</v>
          </cell>
          <cell r="F38">
            <v>371</v>
          </cell>
        </row>
        <row r="39">
          <cell r="C39" t="str">
            <v>Fashion</v>
          </cell>
          <cell r="F39">
            <v>447</v>
          </cell>
        </row>
        <row r="40">
          <cell r="C40" t="str">
            <v>Electronics</v>
          </cell>
          <cell r="F40">
            <v>304</v>
          </cell>
        </row>
      </sheetData>
      <sheetData sheetId="3"/>
      <sheetData sheetId="4" refreshError="1"/>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kumari" refreshedDate="45903.77753136574" createdVersion="8" refreshedVersion="8" minRefreshableVersion="3" recordCount="39" xr:uid="{C770614D-D591-4F0D-BC84-2939220F51A9}">
  <cacheSource type="worksheet">
    <worksheetSource name="Table13"/>
  </cacheSource>
  <cacheFields count="16">
    <cacheField name="Year" numFmtId="0">
      <sharedItems containsSemiMixedTypes="0" containsString="0" containsNumber="1" containsInteger="1" minValue="2018" maxValue="2023" count="6">
        <n v="2023"/>
        <n v="2022"/>
        <n v="2021"/>
        <n v="2020"/>
        <n v="2019"/>
        <n v="2018"/>
      </sharedItems>
    </cacheField>
    <cacheField name="Quarter" numFmtId="0">
      <sharedItems count="4">
        <s v="Q4"/>
        <s v="Q3"/>
        <s v="Q2"/>
        <s v="Q1"/>
      </sharedItems>
    </cacheField>
    <cacheField name="Category" numFmtId="0">
      <sharedItems count="4">
        <s v="Electronics"/>
        <s v="Fashion"/>
        <s v="Food"/>
        <s v="Beauty"/>
      </sharedItems>
    </cacheField>
    <cacheField name="Sub-Category" numFmtId="0">
      <sharedItems count="10">
        <s v="Smartphones"/>
        <s v="Laptops"/>
        <s v="TVs"/>
        <s v="Women's Apparel"/>
        <s v="Men's Apparel"/>
        <s v="Footwear"/>
        <s v="Packaged Foods"/>
        <s v="Fresh Produce"/>
        <s v="Skincare"/>
        <s v="Makeup"/>
      </sharedItems>
    </cacheField>
    <cacheField name="Total_Sales" numFmtId="0">
      <sharedItems containsSemiMixedTypes="0" containsString="0" containsNumber="1" containsInteger="1" minValue="780" maxValue="3850"/>
    </cacheField>
    <cacheField name="Online_Sales" numFmtId="0">
      <sharedItems containsSemiMixedTypes="0" containsString="0" containsNumber="1" containsInteger="1" minValue="177" maxValue="860"/>
    </cacheField>
    <cacheField name="Online_Penetration" numFmtId="0">
      <sharedItems containsSemiMixedTypes="0" containsString="0" containsNumber="1" containsInteger="1" minValue="6" maxValue="55"/>
    </cacheField>
    <cacheField name="YoY_Growth" numFmtId="0">
      <sharedItems containsSemiMixedTypes="0" containsString="0" containsNumber="1" minValue="-4.2" maxValue="15.7"/>
    </cacheField>
    <cacheField name="Region" numFmtId="0">
      <sharedItems count="4">
        <s v="Kanto"/>
        <s v="Kansai"/>
        <s v="Kyushu"/>
        <s v="Countrywide"/>
      </sharedItems>
    </cacheField>
    <cacheField name="Customer_Segment" numFmtId="0">
      <sharedItems count="5">
        <s v="Youth"/>
        <s v="Professionals"/>
        <s v="Families"/>
        <s v="Women"/>
        <s v="Men"/>
      </sharedItems>
    </cacheField>
    <cacheField name="Marketing_Spend" numFmtId="0">
      <sharedItems containsSemiMixedTypes="0" containsString="0" containsNumber="1" containsInteger="1" minValue="75" maxValue="200"/>
    </cacheField>
    <cacheField name="Return_Rate" numFmtId="0">
      <sharedItems containsSemiMixedTypes="0" containsString="0" containsNumber="1" minValue="0.8" maxValue="9"/>
    </cacheField>
    <cacheField name="Profit_Margin" numFmtId="0">
      <sharedItems containsSemiMixedTypes="0" containsString="0" containsNumber="1" minValue="74.876000000000005" maxValue="601.52"/>
    </cacheField>
    <cacheField name="Growth_Status" numFmtId="0">
      <sharedItems/>
    </cacheField>
    <cacheField name="Marketing_ROI" numFmtId="0">
      <sharedItems containsSemiMixedTypes="0" containsString="0" containsNumber="1" minValue="1.77" maxValue="5.7374999999999998"/>
    </cacheField>
    <cacheField name="Sales_Per_Million" numFmtId="0">
      <sharedItems containsSemiMixedTypes="0" containsString="0" containsNumber="1" minValue="0.17699999999999999" maxValue="0.86"/>
    </cacheField>
  </cacheFields>
  <extLst>
    <ext xmlns:x14="http://schemas.microsoft.com/office/spreadsheetml/2009/9/main" uri="{725AE2AE-9491-48be-B2B4-4EB974FC3084}">
      <x14:pivotCacheDefinition pivotCacheId="19176958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x v="0"/>
    <x v="0"/>
    <x v="0"/>
    <n v="1250"/>
    <n v="650"/>
    <n v="52"/>
    <n v="8.5"/>
    <x v="0"/>
    <x v="0"/>
    <n v="120"/>
    <n v="2.1"/>
    <n v="516.35"/>
    <s v="Medium"/>
    <n v="5.416666666666667"/>
    <n v="0.65"/>
  </r>
  <r>
    <x v="0"/>
    <x v="0"/>
    <x v="0"/>
    <x v="1"/>
    <n v="980"/>
    <n v="539"/>
    <n v="55"/>
    <n v="7.2"/>
    <x v="1"/>
    <x v="1"/>
    <n v="95"/>
    <n v="1.8"/>
    <n v="434.298"/>
    <s v="Medium"/>
    <n v="5.6736842105263161"/>
    <n v="0.53900000000000003"/>
  </r>
  <r>
    <x v="0"/>
    <x v="0"/>
    <x v="0"/>
    <x v="2"/>
    <n v="820"/>
    <n v="410"/>
    <n v="50"/>
    <n v="5.5"/>
    <x v="2"/>
    <x v="2"/>
    <n v="80"/>
    <n v="2.5"/>
    <n v="319.75"/>
    <s v="Medium"/>
    <n v="5.125"/>
    <n v="0.41"/>
  </r>
  <r>
    <x v="0"/>
    <x v="0"/>
    <x v="1"/>
    <x v="3"/>
    <n v="2150"/>
    <n v="860"/>
    <n v="40"/>
    <n v="12.3"/>
    <x v="0"/>
    <x v="3"/>
    <n v="200"/>
    <n v="6.8"/>
    <n v="601.52"/>
    <s v="High"/>
    <n v="4.3"/>
    <n v="0.86"/>
  </r>
  <r>
    <x v="0"/>
    <x v="0"/>
    <x v="1"/>
    <x v="4"/>
    <n v="1850"/>
    <n v="666"/>
    <n v="36"/>
    <n v="9.8000000000000007"/>
    <x v="0"/>
    <x v="4"/>
    <n v="170"/>
    <n v="5.2"/>
    <n v="461.36799999999999"/>
    <s v="Medium"/>
    <n v="3.9176470588235293"/>
    <n v="0.66600000000000004"/>
  </r>
  <r>
    <x v="0"/>
    <x v="0"/>
    <x v="1"/>
    <x v="5"/>
    <n v="1350"/>
    <n v="540"/>
    <n v="40"/>
    <n v="8.4"/>
    <x v="1"/>
    <x v="0"/>
    <n v="130"/>
    <n v="7.1"/>
    <n v="371.65999999999997"/>
    <s v="Medium"/>
    <n v="4.1538461538461542"/>
    <n v="0.54"/>
  </r>
  <r>
    <x v="0"/>
    <x v="0"/>
    <x v="2"/>
    <x v="6"/>
    <n v="3850"/>
    <n v="385"/>
    <n v="10"/>
    <n v="4.2"/>
    <x v="3"/>
    <x v="2"/>
    <n v="150"/>
    <n v="0.8"/>
    <n v="231.92"/>
    <s v="Low"/>
    <n v="2.5666666666666669"/>
    <n v="0.38500000000000001"/>
  </r>
  <r>
    <x v="0"/>
    <x v="0"/>
    <x v="2"/>
    <x v="7"/>
    <n v="2950"/>
    <n v="177"/>
    <n v="6"/>
    <n v="3.1"/>
    <x v="3"/>
    <x v="2"/>
    <n v="100"/>
    <n v="1.2"/>
    <n v="74.876000000000005"/>
    <s v="Low"/>
    <n v="1.77"/>
    <n v="0.17699999999999999"/>
  </r>
  <r>
    <x v="0"/>
    <x v="0"/>
    <x v="3"/>
    <x v="8"/>
    <n v="1650"/>
    <n v="660"/>
    <n v="40"/>
    <n v="15.7"/>
    <x v="0"/>
    <x v="3"/>
    <n v="180"/>
    <n v="3.2"/>
    <n v="458.88"/>
    <s v="High"/>
    <n v="3.6666666666666665"/>
    <n v="0.66"/>
  </r>
  <r>
    <x v="0"/>
    <x v="0"/>
    <x v="3"/>
    <x v="9"/>
    <n v="1250"/>
    <n v="562"/>
    <n v="45"/>
    <n v="14.2"/>
    <x v="0"/>
    <x v="0"/>
    <n v="160"/>
    <n v="2.9"/>
    <n v="385.702"/>
    <s v="High"/>
    <n v="3.5125000000000002"/>
    <n v="0.56200000000000006"/>
  </r>
  <r>
    <x v="0"/>
    <x v="1"/>
    <x v="0"/>
    <x v="0"/>
    <n v="1180"/>
    <n v="601"/>
    <n v="51"/>
    <n v="7.8"/>
    <x v="0"/>
    <x v="0"/>
    <n v="115"/>
    <n v="2.2000000000000002"/>
    <n v="472.77800000000002"/>
    <s v="Medium"/>
    <n v="5.2260869565217387"/>
    <n v="0.60099999999999998"/>
  </r>
  <r>
    <x v="0"/>
    <x v="1"/>
    <x v="0"/>
    <x v="1"/>
    <n v="920"/>
    <n v="496"/>
    <n v="54"/>
    <n v="6.5"/>
    <x v="1"/>
    <x v="1"/>
    <n v="90"/>
    <n v="1.9"/>
    <n v="396.57600000000002"/>
    <s v="Medium"/>
    <n v="5.5111111111111111"/>
    <n v="0.496"/>
  </r>
  <r>
    <x v="0"/>
    <x v="1"/>
    <x v="0"/>
    <x v="2"/>
    <n v="780"/>
    <n v="382"/>
    <n v="49"/>
    <n v="5"/>
    <x v="2"/>
    <x v="2"/>
    <n v="75"/>
    <n v="2.6"/>
    <n v="297.06799999999998"/>
    <s v="Low"/>
    <n v="5.0933333333333337"/>
    <n v="0.38200000000000001"/>
  </r>
  <r>
    <x v="0"/>
    <x v="1"/>
    <x v="1"/>
    <x v="3"/>
    <n v="2050"/>
    <n v="800"/>
    <n v="39"/>
    <n v="11.2"/>
    <x v="0"/>
    <x v="3"/>
    <n v="190"/>
    <n v="7"/>
    <n v="554"/>
    <s v="High"/>
    <n v="4.2105263157894735"/>
    <n v="0.8"/>
  </r>
  <r>
    <x v="0"/>
    <x v="1"/>
    <x v="1"/>
    <x v="4"/>
    <n v="1750"/>
    <n v="612"/>
    <n v="35"/>
    <n v="8.9"/>
    <x v="0"/>
    <x v="4"/>
    <n v="160"/>
    <n v="5.4"/>
    <n v="418.952"/>
    <s v="Medium"/>
    <n v="3.8250000000000002"/>
    <n v="0.61199999999999999"/>
  </r>
  <r>
    <x v="0"/>
    <x v="2"/>
    <x v="0"/>
    <x v="0"/>
    <n v="1120"/>
    <n v="571"/>
    <n v="51"/>
    <n v="7.2"/>
    <x v="0"/>
    <x v="0"/>
    <n v="110"/>
    <n v="2.2999999999999998"/>
    <n v="447.86700000000002"/>
    <s v="Medium"/>
    <n v="5.1909090909090905"/>
    <n v="0.57099999999999995"/>
  </r>
  <r>
    <x v="0"/>
    <x v="2"/>
    <x v="0"/>
    <x v="1"/>
    <n v="880"/>
    <n v="475"/>
    <n v="54"/>
    <n v="6"/>
    <x v="1"/>
    <x v="1"/>
    <n v="85"/>
    <n v="2"/>
    <n v="380.5"/>
    <s v="Medium"/>
    <n v="5.5882352941176467"/>
    <n v="0.47499999999999998"/>
  </r>
  <r>
    <x v="0"/>
    <x v="2"/>
    <x v="1"/>
    <x v="3"/>
    <n v="1980"/>
    <n v="752"/>
    <n v="38"/>
    <n v="10.5"/>
    <x v="0"/>
    <x v="3"/>
    <n v="185"/>
    <n v="7.2"/>
    <n v="512.85599999999999"/>
    <s v="High"/>
    <n v="4.0648648648648651"/>
    <n v="0.752"/>
  </r>
  <r>
    <x v="0"/>
    <x v="3"/>
    <x v="0"/>
    <x v="0"/>
    <n v="1080"/>
    <n v="551"/>
    <n v="51"/>
    <n v="6.8"/>
    <x v="0"/>
    <x v="0"/>
    <n v="105"/>
    <n v="2.4"/>
    <n v="432.77600000000001"/>
    <s v="Medium"/>
    <n v="5.2476190476190476"/>
    <n v="0.55100000000000005"/>
  </r>
  <r>
    <x v="0"/>
    <x v="3"/>
    <x v="0"/>
    <x v="1"/>
    <n v="850"/>
    <n v="459"/>
    <n v="54"/>
    <n v="5.8"/>
    <x v="1"/>
    <x v="1"/>
    <n v="80"/>
    <n v="2.1"/>
    <n v="369.36099999999999"/>
    <s v="Medium"/>
    <n v="5.7374999999999998"/>
    <n v="0.45900000000000002"/>
  </r>
  <r>
    <x v="1"/>
    <x v="0"/>
    <x v="0"/>
    <x v="0"/>
    <n v="1150"/>
    <n v="563"/>
    <n v="49"/>
    <n v="6.2"/>
    <x v="0"/>
    <x v="0"/>
    <n v="110"/>
    <n v="2.5"/>
    <n v="438.92500000000001"/>
    <s v="Medium"/>
    <n v="5.1181818181818182"/>
    <n v="0.56299999999999994"/>
  </r>
  <r>
    <x v="1"/>
    <x v="0"/>
    <x v="0"/>
    <x v="1"/>
    <n v="910"/>
    <n v="473"/>
    <n v="52"/>
    <n v="5.2"/>
    <x v="1"/>
    <x v="1"/>
    <n v="85"/>
    <n v="2.2000000000000002"/>
    <n v="377.59399999999999"/>
    <s v="Medium"/>
    <n v="5.5647058823529409"/>
    <n v="0.47299999999999998"/>
  </r>
  <r>
    <x v="1"/>
    <x v="0"/>
    <x v="1"/>
    <x v="3"/>
    <n v="1910"/>
    <n v="688"/>
    <n v="36"/>
    <n v="8.6999999999999993"/>
    <x v="0"/>
    <x v="3"/>
    <n v="170"/>
    <n v="7.8"/>
    <n v="464.33600000000001"/>
    <s v="Medium"/>
    <n v="4.0470588235294116"/>
    <n v="0.68799999999999994"/>
  </r>
  <r>
    <x v="1"/>
    <x v="0"/>
    <x v="1"/>
    <x v="4"/>
    <n v="1680"/>
    <n v="571"/>
    <n v="34"/>
    <n v="7.2"/>
    <x v="0"/>
    <x v="4"/>
    <n v="150"/>
    <n v="6.1"/>
    <n v="386.16899999999998"/>
    <s v="Medium"/>
    <n v="3.8066666666666666"/>
    <n v="0.57099999999999995"/>
  </r>
  <r>
    <x v="1"/>
    <x v="0"/>
    <x v="2"/>
    <x v="6"/>
    <n v="3690"/>
    <n v="332"/>
    <n v="9"/>
    <n v="3.5"/>
    <x v="3"/>
    <x v="2"/>
    <n v="140"/>
    <n v="0.9"/>
    <n v="189.012"/>
    <s v="Low"/>
    <n v="2.3714285714285714"/>
    <n v="0.33200000000000002"/>
  </r>
  <r>
    <x v="1"/>
    <x v="0"/>
    <x v="3"/>
    <x v="8"/>
    <n v="1420"/>
    <n v="525"/>
    <n v="37"/>
    <n v="12.8"/>
    <x v="0"/>
    <x v="3"/>
    <n v="160"/>
    <n v="3.8"/>
    <n v="345.05"/>
    <s v="High"/>
    <n v="3.28125"/>
    <n v="0.52500000000000002"/>
  </r>
  <r>
    <x v="1"/>
    <x v="1"/>
    <x v="0"/>
    <x v="0"/>
    <n v="1090"/>
    <n v="525"/>
    <n v="48"/>
    <n v="5.8"/>
    <x v="0"/>
    <x v="0"/>
    <n v="105"/>
    <n v="2.6"/>
    <n v="406.35"/>
    <s v="Medium"/>
    <n v="5"/>
    <n v="0.52500000000000002"/>
  </r>
  <r>
    <x v="1"/>
    <x v="1"/>
    <x v="1"/>
    <x v="3"/>
    <n v="1840"/>
    <n v="643"/>
    <n v="35"/>
    <n v="7.9"/>
    <x v="0"/>
    <x v="3"/>
    <n v="165"/>
    <n v="8"/>
    <n v="426.56"/>
    <s v="Medium"/>
    <n v="3.896969696969697"/>
    <n v="0.64300000000000002"/>
  </r>
  <r>
    <x v="1"/>
    <x v="2"/>
    <x v="0"/>
    <x v="0"/>
    <n v="1040"/>
    <n v="499"/>
    <n v="48"/>
    <n v="5.3"/>
    <x v="0"/>
    <x v="0"/>
    <n v="100"/>
    <n v="2.7"/>
    <n v="385.52699999999999"/>
    <s v="Medium"/>
    <n v="4.99"/>
    <n v="0.499"/>
  </r>
  <r>
    <x v="1"/>
    <x v="2"/>
    <x v="1"/>
    <x v="3"/>
    <n v="1790"/>
    <n v="608"/>
    <n v="34"/>
    <n v="7.2"/>
    <x v="0"/>
    <x v="3"/>
    <n v="160"/>
    <n v="8.1999999999999993"/>
    <n v="398.14400000000001"/>
    <s v="Medium"/>
    <n v="3.8"/>
    <n v="0.60799999999999998"/>
  </r>
  <r>
    <x v="1"/>
    <x v="3"/>
    <x v="0"/>
    <x v="0"/>
    <n v="1010"/>
    <n v="475"/>
    <n v="47"/>
    <n v="4.8"/>
    <x v="0"/>
    <x v="0"/>
    <n v="95"/>
    <n v="2.8"/>
    <n v="366.7"/>
    <s v="Low"/>
    <n v="5"/>
    <n v="0.47499999999999998"/>
  </r>
  <r>
    <x v="2"/>
    <x v="0"/>
    <x v="0"/>
    <x v="0"/>
    <n v="1080"/>
    <n v="486"/>
    <n v="45"/>
    <n v="3.2"/>
    <x v="0"/>
    <x v="0"/>
    <n v="90"/>
    <n v="3"/>
    <n v="381.42"/>
    <s v="Low"/>
    <n v="5.4"/>
    <n v="0.48599999999999999"/>
  </r>
  <r>
    <x v="2"/>
    <x v="0"/>
    <x v="1"/>
    <x v="3"/>
    <n v="1750"/>
    <n v="560"/>
    <n v="32"/>
    <n v="5.8"/>
    <x v="0"/>
    <x v="3"/>
    <n v="150"/>
    <n v="8.5"/>
    <n v="362.4"/>
    <s v="Medium"/>
    <n v="3.7333333333333334"/>
    <n v="0.56000000000000005"/>
  </r>
  <r>
    <x v="2"/>
    <x v="0"/>
    <x v="2"/>
    <x v="6"/>
    <n v="3560"/>
    <n v="285"/>
    <n v="8"/>
    <n v="2.8"/>
    <x v="3"/>
    <x v="2"/>
    <n v="130"/>
    <n v="1"/>
    <n v="152.15"/>
    <s v="Low"/>
    <n v="2.1923076923076925"/>
    <n v="0.28499999999999998"/>
  </r>
  <r>
    <x v="3"/>
    <x v="0"/>
    <x v="0"/>
    <x v="0"/>
    <n v="1045"/>
    <n v="418"/>
    <n v="40"/>
    <n v="-1.5"/>
    <x v="0"/>
    <x v="0"/>
    <n v="85"/>
    <n v="3.5"/>
    <n v="318.37"/>
    <s v="Low"/>
    <n v="4.9176470588235297"/>
    <n v="0.41799999999999998"/>
  </r>
  <r>
    <x v="3"/>
    <x v="0"/>
    <x v="1"/>
    <x v="3"/>
    <n v="1650"/>
    <n v="462"/>
    <n v="28"/>
    <n v="-4.2"/>
    <x v="0"/>
    <x v="3"/>
    <n v="140"/>
    <n v="9"/>
    <n v="280.42"/>
    <s v="Low"/>
    <n v="3.3"/>
    <n v="0.46200000000000002"/>
  </r>
  <r>
    <x v="4"/>
    <x v="0"/>
    <x v="0"/>
    <x v="0"/>
    <n v="1060"/>
    <n v="371"/>
    <n v="35"/>
    <n v="4.5"/>
    <x v="0"/>
    <x v="0"/>
    <n v="80"/>
    <n v="3.2"/>
    <n v="279.12799999999999"/>
    <s v="Low"/>
    <n v="4.6375000000000002"/>
    <n v="0.371"/>
  </r>
  <r>
    <x v="4"/>
    <x v="0"/>
    <x v="1"/>
    <x v="3"/>
    <n v="1720"/>
    <n v="447"/>
    <n v="26"/>
    <n v="3.8"/>
    <x v="0"/>
    <x v="3"/>
    <n v="135"/>
    <n v="8.8000000000000007"/>
    <n v="272.66399999999999"/>
    <s v="Low"/>
    <n v="3.3111111111111109"/>
    <n v="0.44700000000000001"/>
  </r>
  <r>
    <x v="5"/>
    <x v="0"/>
    <x v="0"/>
    <x v="0"/>
    <n v="1015"/>
    <n v="304"/>
    <n v="30"/>
    <n v="3.2"/>
    <x v="0"/>
    <x v="0"/>
    <n v="75"/>
    <n v="3.4"/>
    <n v="218.66399999999999"/>
    <s v="Low"/>
    <n v="4.0533333333333337"/>
    <n v="0.303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1A0F45-C634-426D-B9F2-1A22845C6CAE}"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3:N22" firstHeaderRow="0" firstDataRow="1" firstDataCol="1" rowPageCount="1" colPageCount="1"/>
  <pivotFields count="16">
    <pivotField axis="axisRow" showAll="0">
      <items count="7">
        <item x="5"/>
        <item x="4"/>
        <item x="3"/>
        <item x="2"/>
        <item x="1"/>
        <item x="0"/>
        <item t="default"/>
      </items>
    </pivotField>
    <pivotField axis="axisRow" showAll="0">
      <items count="5">
        <item x="3"/>
        <item x="2"/>
        <item x="1"/>
        <item x="0"/>
        <item t="default"/>
      </items>
    </pivotField>
    <pivotField axis="axisPage" showAll="0">
      <items count="5">
        <item x="3"/>
        <item x="0"/>
        <item x="1"/>
        <item x="2"/>
        <item t="default"/>
      </items>
    </pivotField>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s>
  <rowFields count="2">
    <field x="0"/>
    <field x="1"/>
  </rowFields>
  <rowItems count="19">
    <i>
      <x/>
    </i>
    <i r="1">
      <x v="3"/>
    </i>
    <i>
      <x v="1"/>
    </i>
    <i r="1">
      <x v="3"/>
    </i>
    <i>
      <x v="2"/>
    </i>
    <i r="1">
      <x v="3"/>
    </i>
    <i>
      <x v="3"/>
    </i>
    <i r="1">
      <x v="3"/>
    </i>
    <i>
      <x v="4"/>
    </i>
    <i r="1">
      <x/>
    </i>
    <i r="1">
      <x v="1"/>
    </i>
    <i r="1">
      <x v="2"/>
    </i>
    <i r="1">
      <x v="3"/>
    </i>
    <i>
      <x v="5"/>
    </i>
    <i r="1">
      <x/>
    </i>
    <i r="1">
      <x v="1"/>
    </i>
    <i r="1">
      <x v="2"/>
    </i>
    <i r="1">
      <x v="3"/>
    </i>
    <i t="grand">
      <x/>
    </i>
  </rowItems>
  <colFields count="1">
    <field x="-2"/>
  </colFields>
  <colItems count="2">
    <i>
      <x/>
    </i>
    <i i="1">
      <x v="1"/>
    </i>
  </colItems>
  <pageFields count="1">
    <pageField fld="2" hier="-1"/>
  </pageFields>
  <dataFields count="2">
    <dataField name="Sum of Online_Sales" fld="5" baseField="0" baseItem="0" numFmtId="166"/>
    <dataField name="Sum of YoY_Growth" fld="7"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A9C26F-A0E1-4561-BAC0-07324B7D7C4A}"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4:I16" firstHeaderRow="0" firstDataRow="1" firstDataCol="1" rowPageCount="1" colPageCount="1"/>
  <pivotFields count="16">
    <pivotField showAll="0">
      <items count="7">
        <item x="5"/>
        <item h="1" x="4"/>
        <item h="1" x="3"/>
        <item h="1" x="2"/>
        <item h="1" x="1"/>
        <item h="1" x="0"/>
        <item t="default"/>
      </items>
    </pivotField>
    <pivotField showAll="0">
      <items count="5">
        <item x="3"/>
        <item x="2"/>
        <item x="1"/>
        <item x="0"/>
        <item t="default"/>
      </items>
    </pivotField>
    <pivotField axis="axisPage" showAll="0">
      <items count="5">
        <item x="3"/>
        <item x="0"/>
        <item x="1"/>
        <item x="2"/>
        <item t="default"/>
      </items>
    </pivotField>
    <pivotField showAll="0"/>
    <pivotField showAll="0"/>
    <pivotField dataField="1" showAll="0"/>
    <pivotField showAll="0"/>
    <pivotField showAll="0"/>
    <pivotField axis="axisRow" showAll="0">
      <items count="5">
        <item x="3"/>
        <item x="1"/>
        <item x="0"/>
        <item x="2"/>
        <item t="default"/>
      </items>
    </pivotField>
    <pivotField axis="axisRow" showAll="0">
      <items count="6">
        <item x="2"/>
        <item x="4"/>
        <item x="1"/>
        <item x="3"/>
        <item x="0"/>
        <item t="default"/>
      </items>
    </pivotField>
    <pivotField showAll="0"/>
    <pivotField showAll="0"/>
    <pivotField showAll="0"/>
    <pivotField showAll="0"/>
    <pivotField dataField="1" showAll="0"/>
    <pivotField showAll="0"/>
  </pivotFields>
  <rowFields count="2">
    <field x="8"/>
    <field x="9"/>
  </rowFields>
  <rowItems count="12">
    <i>
      <x/>
    </i>
    <i r="1">
      <x/>
    </i>
    <i>
      <x v="1"/>
    </i>
    <i r="1">
      <x v="2"/>
    </i>
    <i r="1">
      <x v="4"/>
    </i>
    <i>
      <x v="2"/>
    </i>
    <i r="1">
      <x v="1"/>
    </i>
    <i r="1">
      <x v="3"/>
    </i>
    <i r="1">
      <x v="4"/>
    </i>
    <i>
      <x v="3"/>
    </i>
    <i r="1">
      <x/>
    </i>
    <i t="grand">
      <x/>
    </i>
  </rowItems>
  <colFields count="1">
    <field x="-2"/>
  </colFields>
  <colItems count="2">
    <i>
      <x/>
    </i>
    <i i="1">
      <x v="1"/>
    </i>
  </colItems>
  <pageFields count="1">
    <pageField fld="2" hier="-1"/>
  </pageFields>
  <dataFields count="2">
    <dataField name="Sum of Online_Sales" fld="5" baseField="8" baseItem="0" numFmtId="164"/>
    <dataField name="Average of Marketing_ROI" fld="14" subtotal="average" baseField="8" baseItem="0" numFmtId="165"/>
  </dataFields>
  <chartFormats count="3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3">
          <reference field="4294967294" count="1" selected="0">
            <x v="0"/>
          </reference>
          <reference field="8" count="1" selected="0">
            <x v="0"/>
          </reference>
          <reference field="9" count="1" selected="0">
            <x v="0"/>
          </reference>
        </references>
      </pivotArea>
    </chartFormat>
    <chartFormat chart="6" format="4">
      <pivotArea type="data" outline="0" fieldPosition="0">
        <references count="3">
          <reference field="4294967294" count="1" selected="0">
            <x v="0"/>
          </reference>
          <reference field="8" count="1" selected="0">
            <x v="1"/>
          </reference>
          <reference field="9" count="1" selected="0">
            <x v="2"/>
          </reference>
        </references>
      </pivotArea>
    </chartFormat>
    <chartFormat chart="6" format="5">
      <pivotArea type="data" outline="0" fieldPosition="0">
        <references count="3">
          <reference field="4294967294" count="1" selected="0">
            <x v="0"/>
          </reference>
          <reference field="8" count="1" selected="0">
            <x v="1"/>
          </reference>
          <reference field="9" count="1" selected="0">
            <x v="4"/>
          </reference>
        </references>
      </pivotArea>
    </chartFormat>
    <chartFormat chart="6" format="6">
      <pivotArea type="data" outline="0" fieldPosition="0">
        <references count="3">
          <reference field="4294967294" count="1" selected="0">
            <x v="0"/>
          </reference>
          <reference field="8" count="1" selected="0">
            <x v="2"/>
          </reference>
          <reference field="9" count="1" selected="0">
            <x v="1"/>
          </reference>
        </references>
      </pivotArea>
    </chartFormat>
    <chartFormat chart="6" format="7">
      <pivotArea type="data" outline="0" fieldPosition="0">
        <references count="3">
          <reference field="4294967294" count="1" selected="0">
            <x v="0"/>
          </reference>
          <reference field="8" count="1" selected="0">
            <x v="2"/>
          </reference>
          <reference field="9" count="1" selected="0">
            <x v="3"/>
          </reference>
        </references>
      </pivotArea>
    </chartFormat>
    <chartFormat chart="6" format="8">
      <pivotArea type="data" outline="0" fieldPosition="0">
        <references count="3">
          <reference field="4294967294" count="1" selected="0">
            <x v="0"/>
          </reference>
          <reference field="8" count="1" selected="0">
            <x v="2"/>
          </reference>
          <reference field="9" count="1" selected="0">
            <x v="4"/>
          </reference>
        </references>
      </pivotArea>
    </chartFormat>
    <chartFormat chart="6" format="9">
      <pivotArea type="data" outline="0" fieldPosition="0">
        <references count="3">
          <reference field="4294967294" count="1" selected="0">
            <x v="0"/>
          </reference>
          <reference field="8" count="1" selected="0">
            <x v="3"/>
          </reference>
          <reference field="9"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pivotArea type="data" outline="0" fieldPosition="0">
        <references count="3">
          <reference field="4294967294" count="1" selected="0">
            <x v="1"/>
          </reference>
          <reference field="8" count="1" selected="0">
            <x v="0"/>
          </reference>
          <reference field="9" count="1" selected="0">
            <x v="0"/>
          </reference>
        </references>
      </pivotArea>
    </chartFormat>
    <chartFormat chart="6" format="12">
      <pivotArea type="data" outline="0" fieldPosition="0">
        <references count="3">
          <reference field="4294967294" count="1" selected="0">
            <x v="1"/>
          </reference>
          <reference field="8" count="1" selected="0">
            <x v="1"/>
          </reference>
          <reference field="9" count="1" selected="0">
            <x v="2"/>
          </reference>
        </references>
      </pivotArea>
    </chartFormat>
    <chartFormat chart="6" format="13">
      <pivotArea type="data" outline="0" fieldPosition="0">
        <references count="3">
          <reference field="4294967294" count="1" selected="0">
            <x v="1"/>
          </reference>
          <reference field="8" count="1" selected="0">
            <x v="1"/>
          </reference>
          <reference field="9" count="1" selected="0">
            <x v="4"/>
          </reference>
        </references>
      </pivotArea>
    </chartFormat>
    <chartFormat chart="6" format="14">
      <pivotArea type="data" outline="0" fieldPosition="0">
        <references count="3">
          <reference field="4294967294" count="1" selected="0">
            <x v="1"/>
          </reference>
          <reference field="8" count="1" selected="0">
            <x v="2"/>
          </reference>
          <reference field="9" count="1" selected="0">
            <x v="1"/>
          </reference>
        </references>
      </pivotArea>
    </chartFormat>
    <chartFormat chart="6" format="15">
      <pivotArea type="data" outline="0" fieldPosition="0">
        <references count="3">
          <reference field="4294967294" count="1" selected="0">
            <x v="1"/>
          </reference>
          <reference field="8" count="1" selected="0">
            <x v="2"/>
          </reference>
          <reference field="9" count="1" selected="0">
            <x v="3"/>
          </reference>
        </references>
      </pivotArea>
    </chartFormat>
    <chartFormat chart="6" format="16">
      <pivotArea type="data" outline="0" fieldPosition="0">
        <references count="3">
          <reference field="4294967294" count="1" selected="0">
            <x v="1"/>
          </reference>
          <reference field="8" count="1" selected="0">
            <x v="2"/>
          </reference>
          <reference field="9" count="1" selected="0">
            <x v="4"/>
          </reference>
        </references>
      </pivotArea>
    </chartFormat>
    <chartFormat chart="6" format="17">
      <pivotArea type="data" outline="0" fieldPosition="0">
        <references count="3">
          <reference field="4294967294" count="1" selected="0">
            <x v="1"/>
          </reference>
          <reference field="8" count="1" selected="0">
            <x v="3"/>
          </reference>
          <reference field="9" count="1" selected="0">
            <x v="0"/>
          </reference>
        </references>
      </pivotArea>
    </chartFormat>
    <chartFormat chart="7" format="18" series="1">
      <pivotArea type="data" outline="0" fieldPosition="0">
        <references count="1">
          <reference field="4294967294" count="1" selected="0">
            <x v="0"/>
          </reference>
        </references>
      </pivotArea>
    </chartFormat>
    <chartFormat chart="7" format="19">
      <pivotArea type="data" outline="0" fieldPosition="0">
        <references count="3">
          <reference field="4294967294" count="1" selected="0">
            <x v="0"/>
          </reference>
          <reference field="8" count="1" selected="0">
            <x v="0"/>
          </reference>
          <reference field="9" count="1" selected="0">
            <x v="0"/>
          </reference>
        </references>
      </pivotArea>
    </chartFormat>
    <chartFormat chart="7" format="20">
      <pivotArea type="data" outline="0" fieldPosition="0">
        <references count="3">
          <reference field="4294967294" count="1" selected="0">
            <x v="0"/>
          </reference>
          <reference field="8" count="1" selected="0">
            <x v="1"/>
          </reference>
          <reference field="9" count="1" selected="0">
            <x v="2"/>
          </reference>
        </references>
      </pivotArea>
    </chartFormat>
    <chartFormat chart="7" format="21">
      <pivotArea type="data" outline="0" fieldPosition="0">
        <references count="3">
          <reference field="4294967294" count="1" selected="0">
            <x v="0"/>
          </reference>
          <reference field="8" count="1" selected="0">
            <x v="1"/>
          </reference>
          <reference field="9" count="1" selected="0">
            <x v="4"/>
          </reference>
        </references>
      </pivotArea>
    </chartFormat>
    <chartFormat chart="7" format="22">
      <pivotArea type="data" outline="0" fieldPosition="0">
        <references count="3">
          <reference field="4294967294" count="1" selected="0">
            <x v="0"/>
          </reference>
          <reference field="8" count="1" selected="0">
            <x v="2"/>
          </reference>
          <reference field="9" count="1" selected="0">
            <x v="1"/>
          </reference>
        </references>
      </pivotArea>
    </chartFormat>
    <chartFormat chart="7" format="23">
      <pivotArea type="data" outline="0" fieldPosition="0">
        <references count="3">
          <reference field="4294967294" count="1" selected="0">
            <x v="0"/>
          </reference>
          <reference field="8" count="1" selected="0">
            <x v="2"/>
          </reference>
          <reference field="9" count="1" selected="0">
            <x v="3"/>
          </reference>
        </references>
      </pivotArea>
    </chartFormat>
    <chartFormat chart="7" format="24">
      <pivotArea type="data" outline="0" fieldPosition="0">
        <references count="3">
          <reference field="4294967294" count="1" selected="0">
            <x v="0"/>
          </reference>
          <reference field="8" count="1" selected="0">
            <x v="2"/>
          </reference>
          <reference field="9" count="1" selected="0">
            <x v="4"/>
          </reference>
        </references>
      </pivotArea>
    </chartFormat>
    <chartFormat chart="7" format="25">
      <pivotArea type="data" outline="0" fieldPosition="0">
        <references count="3">
          <reference field="4294967294" count="1" selected="0">
            <x v="0"/>
          </reference>
          <reference field="8" count="1" selected="0">
            <x v="3"/>
          </reference>
          <reference field="9" count="1" selected="0">
            <x v="0"/>
          </reference>
        </references>
      </pivotArea>
    </chartFormat>
    <chartFormat chart="7" format="26" series="1">
      <pivotArea type="data" outline="0" fieldPosition="0">
        <references count="1">
          <reference field="4294967294" count="1" selected="0">
            <x v="1"/>
          </reference>
        </references>
      </pivotArea>
    </chartFormat>
    <chartFormat chart="7" format="27">
      <pivotArea type="data" outline="0" fieldPosition="0">
        <references count="3">
          <reference field="4294967294" count="1" selected="0">
            <x v="1"/>
          </reference>
          <reference field="8" count="1" selected="0">
            <x v="0"/>
          </reference>
          <reference field="9" count="1" selected="0">
            <x v="0"/>
          </reference>
        </references>
      </pivotArea>
    </chartFormat>
    <chartFormat chart="7" format="28">
      <pivotArea type="data" outline="0" fieldPosition="0">
        <references count="3">
          <reference field="4294967294" count="1" selected="0">
            <x v="1"/>
          </reference>
          <reference field="8" count="1" selected="0">
            <x v="1"/>
          </reference>
          <reference field="9" count="1" selected="0">
            <x v="2"/>
          </reference>
        </references>
      </pivotArea>
    </chartFormat>
    <chartFormat chart="7" format="29">
      <pivotArea type="data" outline="0" fieldPosition="0">
        <references count="3">
          <reference field="4294967294" count="1" selected="0">
            <x v="1"/>
          </reference>
          <reference field="8" count="1" selected="0">
            <x v="1"/>
          </reference>
          <reference field="9" count="1" selected="0">
            <x v="4"/>
          </reference>
        </references>
      </pivotArea>
    </chartFormat>
    <chartFormat chart="7" format="30">
      <pivotArea type="data" outline="0" fieldPosition="0">
        <references count="3">
          <reference field="4294967294" count="1" selected="0">
            <x v="1"/>
          </reference>
          <reference field="8" count="1" selected="0">
            <x v="2"/>
          </reference>
          <reference field="9" count="1" selected="0">
            <x v="1"/>
          </reference>
        </references>
      </pivotArea>
    </chartFormat>
    <chartFormat chart="7" format="31">
      <pivotArea type="data" outline="0" fieldPosition="0">
        <references count="3">
          <reference field="4294967294" count="1" selected="0">
            <x v="1"/>
          </reference>
          <reference field="8" count="1" selected="0">
            <x v="2"/>
          </reference>
          <reference field="9" count="1" selected="0">
            <x v="3"/>
          </reference>
        </references>
      </pivotArea>
    </chartFormat>
    <chartFormat chart="7" format="32">
      <pivotArea type="data" outline="0" fieldPosition="0">
        <references count="3">
          <reference field="4294967294" count="1" selected="0">
            <x v="1"/>
          </reference>
          <reference field="8" count="1" selected="0">
            <x v="2"/>
          </reference>
          <reference field="9" count="1" selected="0">
            <x v="4"/>
          </reference>
        </references>
      </pivotArea>
    </chartFormat>
    <chartFormat chart="7" format="33">
      <pivotArea type="data" outline="0" fieldPosition="0">
        <references count="3">
          <reference field="4294967294" count="1" selected="0">
            <x v="1"/>
          </reference>
          <reference field="8" count="1" selected="0">
            <x v="3"/>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F1F879-C027-4C6B-8888-6F06D262D4B9}"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10" firstHeaderRow="0" firstDataRow="1" firstDataCol="1" rowPageCount="2" colPageCount="1"/>
  <pivotFields count="16">
    <pivotField axis="axisPage" showAll="0">
      <items count="7">
        <item x="5"/>
        <item x="4"/>
        <item x="3"/>
        <item x="2"/>
        <item x="1"/>
        <item x="0"/>
        <item t="default"/>
      </items>
    </pivotField>
    <pivotField axis="axisPage" multipleItemSelectionAllowed="1" showAll="0">
      <items count="5">
        <item x="3"/>
        <item x="2"/>
        <item x="1"/>
        <item x="0"/>
        <item t="default"/>
      </items>
    </pivotField>
    <pivotField axis="axisRow" showAll="0">
      <items count="5">
        <item h="1" x="3"/>
        <item x="0"/>
        <item x="1"/>
        <item x="2"/>
        <item t="default"/>
      </items>
    </pivotField>
    <pivotField axis="axisRow" showAll="0">
      <items count="11">
        <item x="5"/>
        <item x="7"/>
        <item x="1"/>
        <item x="9"/>
        <item x="4"/>
        <item x="6"/>
        <item x="8"/>
        <item x="0"/>
        <item x="2"/>
        <item x="3"/>
        <item t="default"/>
      </items>
    </pivotField>
    <pivotField showAll="0"/>
    <pivotField dataField="1" showAll="0"/>
    <pivotField showAll="0"/>
    <pivotField dataField="1" showAll="0"/>
    <pivotField showAll="0">
      <items count="5">
        <item h="1" x="3"/>
        <item h="1" x="1"/>
        <item x="0"/>
        <item h="1" x="2"/>
        <item t="default"/>
      </items>
    </pivotField>
    <pivotField showAll="0"/>
    <pivotField showAll="0"/>
    <pivotField showAll="0"/>
    <pivotField showAll="0"/>
    <pivotField showAll="0"/>
    <pivotField showAll="0"/>
    <pivotField showAll="0"/>
  </pivotFields>
  <rowFields count="2">
    <field x="2"/>
    <field x="3"/>
  </rowFields>
  <rowItems count="6">
    <i>
      <x v="1"/>
    </i>
    <i r="1">
      <x v="7"/>
    </i>
    <i>
      <x v="2"/>
    </i>
    <i r="1">
      <x v="4"/>
    </i>
    <i r="1">
      <x v="9"/>
    </i>
    <i t="grand">
      <x/>
    </i>
  </rowItems>
  <colFields count="1">
    <field x="-2"/>
  </colFields>
  <colItems count="2">
    <i>
      <x/>
    </i>
    <i i="1">
      <x v="1"/>
    </i>
  </colItems>
  <pageFields count="2">
    <pageField fld="0" item="5" hier="-1"/>
    <pageField fld="1" hier="-1"/>
  </pageFields>
  <dataFields count="2">
    <dataField name="Sum of Online_Sales" fld="5" baseField="2" baseItem="0" numFmtId="164"/>
    <dataField name="Average of YoY_Growth" fld="7" subtotal="average" baseField="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D23B535-20D8-4310-8CF9-5E8F7B0BC65D}" sourceName="Year">
  <pivotTables>
    <pivotTable tabId="5" name="PivotTable1"/>
  </pivotTables>
  <data>
    <tabular pivotCacheId="1917695806">
      <items count="6">
        <i x="5"/>
        <i x="4"/>
        <i x="3"/>
        <i x="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13BF3B1-6177-4B16-8129-7032E19F9DCC}" sourceName="Quarter">
  <pivotTables>
    <pivotTable tabId="5" name="PivotTable1"/>
  </pivotTables>
  <data>
    <tabular pivotCacheId="1917695806">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2D517FB-FE41-4F2B-9334-A742CDB694BC}" sourceName="Category">
  <pivotTables>
    <pivotTable tabId="5" name="PivotTable1"/>
  </pivotTables>
  <data>
    <tabular pivotCacheId="1917695806">
      <items count="4">
        <i x="3"/>
        <i x="0" s="1"/>
        <i x="1"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2E62159-1002-42DD-8998-2CBFC0BF2B94}" sourceName="Region">
  <pivotTables>
    <pivotTable tabId="5" name="PivotTable1"/>
  </pivotTables>
  <data>
    <tabular pivotCacheId="1917695806">
      <items count="4">
        <i x="3"/>
        <i x="1"/>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F7EDCD0-C473-4A75-A7CC-1332317DC282}" cache="Slicer_Year" caption="Year" rowHeight="241300"/>
  <slicer name="Quarter 1" xr10:uid="{F374ADC9-BF03-4E08-9BD5-EFA69463FB09}" cache="Slicer_Quarter" caption="Quarter" rowHeight="241300"/>
  <slicer name="Category 1" xr10:uid="{90109054-3EE7-470C-9FDA-6AC43A0512A1}" cache="Slicer_Category" caption="Category" rowHeight="241300"/>
  <slicer name="Region 1" xr10:uid="{600A1BEE-0DE8-441F-8F15-45A357AF64EA}"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13E9BA-DBFF-4803-B6F8-3898469D1BFB}" name="Table1" displayName="Table1" ref="A1:L40" totalsRowShown="0">
  <autoFilter ref="A1:L40" xr:uid="{B613E9BA-DBFF-4803-B6F8-3898469D1BFB}"/>
  <tableColumns count="12">
    <tableColumn id="1" xr3:uid="{D508D905-313F-4F93-885A-9E34F7445FB9}" name="Year"/>
    <tableColumn id="2" xr3:uid="{ECBFB095-0838-4252-BAC6-A5ABFAE50136}" name="Quarter"/>
    <tableColumn id="3" xr3:uid="{384F0314-DC0B-4F6F-9C5B-F597194CCEE0}" name="Category"/>
    <tableColumn id="4" xr3:uid="{94C37578-DC38-415D-8D94-1D9F23CA3ED8}" name="Sub-Category"/>
    <tableColumn id="5" xr3:uid="{BDBD1655-D08F-43C6-B260-516CAB568129}" name="Total_Sales"/>
    <tableColumn id="6" xr3:uid="{FBCBEBDA-8832-45FE-83B2-4EBD64A4B377}" name="Online_Sales"/>
    <tableColumn id="7" xr3:uid="{89421965-C914-4803-91CA-13B2008F9D02}" name="Online_Penetration"/>
    <tableColumn id="8" xr3:uid="{7DBB5159-E24D-4A61-967E-174A93A52EC8}" name="YoY_Growth"/>
    <tableColumn id="9" xr3:uid="{E2254D01-791C-451B-980F-0FF8CA0DC89F}" name="Region"/>
    <tableColumn id="10" xr3:uid="{BFEAFA7F-5935-4224-B3FB-CF47FB8DFB0A}" name="Customer_Segment"/>
    <tableColumn id="11" xr3:uid="{80B67DE5-D073-45E5-B037-E68B7E651C18}" name="Marketing_Spend"/>
    <tableColumn id="12" xr3:uid="{47327427-767D-4E68-94DC-A3FDBE47F904}" name="Return_Rate"/>
  </tableColumns>
  <tableStyleInfo name="TableStyleMedium2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EA5618-80C3-436E-A74C-B1F433F34E97}" name="Table13" displayName="Table13" ref="A1:P40" totalsRowShown="0">
  <autoFilter ref="A1:P40" xr:uid="{D3EA5618-80C3-436E-A74C-B1F433F34E97}"/>
  <tableColumns count="16">
    <tableColumn id="1" xr3:uid="{DB44A6D6-DBE5-4B92-964A-4C35C013AD48}" name="Year"/>
    <tableColumn id="2" xr3:uid="{23374016-571C-43A7-8FBA-C31AFDF68FEC}" name="Quarter"/>
    <tableColumn id="3" xr3:uid="{CB870F79-2AC4-42D9-87EC-016C2A72FBDC}" name="Category"/>
    <tableColumn id="4" xr3:uid="{C6031149-B1D7-4E9D-A973-F39D6DB55ACA}" name="Sub-Category"/>
    <tableColumn id="5" xr3:uid="{E2460BC8-9FDB-4548-A87F-1437E8A18621}" name="Total_Sales"/>
    <tableColumn id="6" xr3:uid="{2734D6D5-7615-4AA1-886C-1DBA939EF091}" name="Online_Sales"/>
    <tableColumn id="7" xr3:uid="{1E9AA002-2567-42AE-B9AC-270728100D13}" name="Online_Penetration"/>
    <tableColumn id="8" xr3:uid="{842F9866-3FF4-4DF3-87A5-EA8F8F384CB4}" name="YoY_Growth"/>
    <tableColumn id="9" xr3:uid="{6A1F2F64-046C-4F7A-9E2E-2A234A1DBC05}" name="Region"/>
    <tableColumn id="10" xr3:uid="{59FC0B41-C388-4C38-968E-FCE4FA31328F}" name="Customer_Segment"/>
    <tableColumn id="11" xr3:uid="{2D16A24F-3C2F-4B3C-AA57-912A16AE296F}" name="Marketing_Spend"/>
    <tableColumn id="12" xr3:uid="{A00E0340-C7EB-49E7-AE5F-ECAA3847A825}" name="Return_Rate"/>
    <tableColumn id="13" xr3:uid="{7AB93E94-5D7C-48BC-A000-42B8BC9A1732}" name="Profit_Margin" dataDxfId="3">
      <calculatedColumnFormula xml:space="preserve"> Table13[[#This Row],[Online_Sales]] - (Table13[[#This Row],[Marketing_Spend]] + (Table13[[#This Row],[Online_Sales]]*Table13[[#This Row],[Return_Rate]]/100))</calculatedColumnFormula>
    </tableColumn>
    <tableColumn id="14" xr3:uid="{D5AE217C-97D0-4CA8-8EC7-03D2DDEB2827}" name="Growth_Status" dataDxfId="2">
      <calculatedColumnFormula xml:space="preserve"> IF(Table13[[#This Row],[YoY_Growth]] &gt; 10,"High", IF(Table13[[#This Row],[YoY_Growth]] &gt; 5,"Medium", "Low"))</calculatedColumnFormula>
    </tableColumn>
    <tableColumn id="15" xr3:uid="{274C7EDD-C912-4301-A8CC-F74F4DD29372}" name="Marketing_ROI" dataDxfId="1">
      <calculatedColumnFormula xml:space="preserve"> Table13[[#This Row],[Online_Sales]] / Table13[[#This Row],[Marketing_Spend]]</calculatedColumnFormula>
    </tableColumn>
    <tableColumn id="16" xr3:uid="{BDC6F306-15ED-4016-B484-C80DF6958988}" name="Sales_Per_Million" dataDxfId="0">
      <calculatedColumnFormula xml:space="preserve"> Table13[[#This Row],[Online_Sales]] /1000</calculatedColumnFormula>
    </tableColumn>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F54FB18-9769-4E47-9C04-6595EC310C37}" name="Table6" displayName="Table6" ref="L1:Q7" totalsRowShown="0">
  <autoFilter ref="L1:Q7" xr:uid="{BF54FB18-9769-4E47-9C04-6595EC310C37}"/>
  <tableColumns count="6">
    <tableColumn id="1" xr3:uid="{69A705D7-158A-443E-B6DB-2D7D9764E885}" name="Column1"/>
    <tableColumn id="2" xr3:uid="{78F0BC83-F700-44B5-906F-AB0EA5FA4CFD}" name="Column2"/>
    <tableColumn id="3" xr3:uid="{9792EEE1-B84C-4C13-A0FB-423AAC34B161}" name="Column3"/>
    <tableColumn id="4" xr3:uid="{6BC01739-1035-49BB-8A24-CAEECAA36FFE}" name="Column4"/>
    <tableColumn id="5" xr3:uid="{94FD765A-221F-4620-8389-C4C353CD906C}" name="Column5"/>
    <tableColumn id="6" xr3:uid="{AD1F465F-C497-4F62-859C-5ED8C26FAB63}" name="Column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3.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4BFC8-42C1-4A73-A1EA-1186FCE6BE7E}">
  <dimension ref="A1:L40"/>
  <sheetViews>
    <sheetView workbookViewId="0">
      <selection activeCell="F43" sqref="F43"/>
    </sheetView>
  </sheetViews>
  <sheetFormatPr defaultRowHeight="15" x14ac:dyDescent="0.25"/>
  <cols>
    <col min="2" max="2" width="10" customWidth="1"/>
    <col min="3" max="3" width="11" customWidth="1"/>
    <col min="4" max="4" width="15" customWidth="1"/>
    <col min="5" max="5" width="13.140625" customWidth="1"/>
    <col min="6" max="6" width="14.7109375" customWidth="1"/>
    <col min="7" max="7" width="20.7109375" customWidth="1"/>
    <col min="8" max="8" width="14.28515625" customWidth="1"/>
    <col min="9" max="9" width="9.28515625" customWidth="1"/>
    <col min="10" max="10" width="20.5703125" customWidth="1"/>
    <col min="11" max="11" width="18.85546875" customWidth="1"/>
    <col min="12" max="12" width="14.1406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2023</v>
      </c>
      <c r="B2" t="s">
        <v>12</v>
      </c>
      <c r="C2" t="s">
        <v>13</v>
      </c>
      <c r="D2" t="s">
        <v>14</v>
      </c>
      <c r="E2">
        <v>1250</v>
      </c>
      <c r="F2">
        <v>650</v>
      </c>
      <c r="G2">
        <v>52</v>
      </c>
      <c r="H2">
        <v>8.5</v>
      </c>
      <c r="I2" t="s">
        <v>15</v>
      </c>
      <c r="J2" t="s">
        <v>16</v>
      </c>
      <c r="K2">
        <v>120</v>
      </c>
      <c r="L2">
        <v>2.1</v>
      </c>
    </row>
    <row r="3" spans="1:12" x14ac:dyDescent="0.25">
      <c r="A3">
        <v>2023</v>
      </c>
      <c r="B3" t="s">
        <v>12</v>
      </c>
      <c r="C3" t="s">
        <v>13</v>
      </c>
      <c r="D3" t="s">
        <v>17</v>
      </c>
      <c r="E3">
        <v>980</v>
      </c>
      <c r="F3">
        <v>539</v>
      </c>
      <c r="G3">
        <v>55</v>
      </c>
      <c r="H3">
        <v>7.2</v>
      </c>
      <c r="I3" t="s">
        <v>18</v>
      </c>
      <c r="J3" t="s">
        <v>19</v>
      </c>
      <c r="K3">
        <v>95</v>
      </c>
      <c r="L3">
        <v>1.8</v>
      </c>
    </row>
    <row r="4" spans="1:12" x14ac:dyDescent="0.25">
      <c r="A4">
        <v>2023</v>
      </c>
      <c r="B4" t="s">
        <v>12</v>
      </c>
      <c r="C4" t="s">
        <v>13</v>
      </c>
      <c r="D4" t="s">
        <v>20</v>
      </c>
      <c r="E4">
        <v>820</v>
      </c>
      <c r="F4">
        <v>410</v>
      </c>
      <c r="G4">
        <v>50</v>
      </c>
      <c r="H4">
        <v>5.5</v>
      </c>
      <c r="I4" t="s">
        <v>21</v>
      </c>
      <c r="J4" t="s">
        <v>22</v>
      </c>
      <c r="K4">
        <v>80</v>
      </c>
      <c r="L4">
        <v>2.5</v>
      </c>
    </row>
    <row r="5" spans="1:12" x14ac:dyDescent="0.25">
      <c r="A5">
        <v>2023</v>
      </c>
      <c r="B5" t="s">
        <v>12</v>
      </c>
      <c r="C5" t="s">
        <v>23</v>
      </c>
      <c r="D5" t="s">
        <v>24</v>
      </c>
      <c r="E5">
        <v>2150</v>
      </c>
      <c r="F5">
        <v>860</v>
      </c>
      <c r="G5">
        <v>40</v>
      </c>
      <c r="H5">
        <v>12.3</v>
      </c>
      <c r="I5" t="s">
        <v>15</v>
      </c>
      <c r="J5" t="s">
        <v>25</v>
      </c>
      <c r="K5">
        <v>200</v>
      </c>
      <c r="L5">
        <v>6.8</v>
      </c>
    </row>
    <row r="6" spans="1:12" x14ac:dyDescent="0.25">
      <c r="A6">
        <v>2023</v>
      </c>
      <c r="B6" t="s">
        <v>12</v>
      </c>
      <c r="C6" t="s">
        <v>23</v>
      </c>
      <c r="D6" t="s">
        <v>26</v>
      </c>
      <c r="E6">
        <v>1850</v>
      </c>
      <c r="F6">
        <v>666</v>
      </c>
      <c r="G6">
        <v>36</v>
      </c>
      <c r="H6">
        <v>9.8000000000000007</v>
      </c>
      <c r="I6" t="s">
        <v>15</v>
      </c>
      <c r="J6" t="s">
        <v>27</v>
      </c>
      <c r="K6">
        <v>170</v>
      </c>
      <c r="L6">
        <v>5.2</v>
      </c>
    </row>
    <row r="7" spans="1:12" x14ac:dyDescent="0.25">
      <c r="A7">
        <v>2023</v>
      </c>
      <c r="B7" t="s">
        <v>12</v>
      </c>
      <c r="C7" t="s">
        <v>23</v>
      </c>
      <c r="D7" t="s">
        <v>28</v>
      </c>
      <c r="E7">
        <v>1350</v>
      </c>
      <c r="F7">
        <v>540</v>
      </c>
      <c r="G7">
        <v>40</v>
      </c>
      <c r="H7">
        <v>8.4</v>
      </c>
      <c r="I7" t="s">
        <v>18</v>
      </c>
      <c r="J7" t="s">
        <v>16</v>
      </c>
      <c r="K7">
        <v>130</v>
      </c>
      <c r="L7">
        <v>7.1</v>
      </c>
    </row>
    <row r="8" spans="1:12" x14ac:dyDescent="0.25">
      <c r="A8">
        <v>2023</v>
      </c>
      <c r="B8" t="s">
        <v>12</v>
      </c>
      <c r="C8" t="s">
        <v>29</v>
      </c>
      <c r="D8" t="s">
        <v>30</v>
      </c>
      <c r="E8">
        <v>3850</v>
      </c>
      <c r="F8">
        <v>385</v>
      </c>
      <c r="G8">
        <v>10</v>
      </c>
      <c r="H8">
        <v>4.2</v>
      </c>
      <c r="I8" t="s">
        <v>31</v>
      </c>
      <c r="J8" t="s">
        <v>22</v>
      </c>
      <c r="K8">
        <v>150</v>
      </c>
      <c r="L8">
        <v>0.8</v>
      </c>
    </row>
    <row r="9" spans="1:12" x14ac:dyDescent="0.25">
      <c r="A9">
        <v>2023</v>
      </c>
      <c r="B9" t="s">
        <v>12</v>
      </c>
      <c r="C9" t="s">
        <v>29</v>
      </c>
      <c r="D9" t="s">
        <v>32</v>
      </c>
      <c r="E9">
        <v>2950</v>
      </c>
      <c r="F9">
        <v>177</v>
      </c>
      <c r="G9">
        <v>6</v>
      </c>
      <c r="H9">
        <v>3.1</v>
      </c>
      <c r="I9" t="s">
        <v>31</v>
      </c>
      <c r="J9" t="s">
        <v>22</v>
      </c>
      <c r="K9">
        <v>100</v>
      </c>
      <c r="L9">
        <v>1.2</v>
      </c>
    </row>
    <row r="10" spans="1:12" x14ac:dyDescent="0.25">
      <c r="A10">
        <v>2023</v>
      </c>
      <c r="B10" t="s">
        <v>12</v>
      </c>
      <c r="C10" t="s">
        <v>33</v>
      </c>
      <c r="D10" t="s">
        <v>34</v>
      </c>
      <c r="E10">
        <v>1650</v>
      </c>
      <c r="F10">
        <v>660</v>
      </c>
      <c r="G10">
        <v>40</v>
      </c>
      <c r="H10">
        <v>15.7</v>
      </c>
      <c r="I10" t="s">
        <v>15</v>
      </c>
      <c r="J10" t="s">
        <v>25</v>
      </c>
      <c r="K10">
        <v>180</v>
      </c>
      <c r="L10">
        <v>3.2</v>
      </c>
    </row>
    <row r="11" spans="1:12" x14ac:dyDescent="0.25">
      <c r="A11">
        <v>2023</v>
      </c>
      <c r="B11" t="s">
        <v>12</v>
      </c>
      <c r="C11" t="s">
        <v>33</v>
      </c>
      <c r="D11" t="s">
        <v>35</v>
      </c>
      <c r="E11">
        <v>1250</v>
      </c>
      <c r="F11">
        <v>562</v>
      </c>
      <c r="G11">
        <v>45</v>
      </c>
      <c r="H11">
        <v>14.2</v>
      </c>
      <c r="I11" t="s">
        <v>15</v>
      </c>
      <c r="J11" t="s">
        <v>16</v>
      </c>
      <c r="K11">
        <v>160</v>
      </c>
      <c r="L11">
        <v>2.9</v>
      </c>
    </row>
    <row r="12" spans="1:12" x14ac:dyDescent="0.25">
      <c r="A12">
        <v>2023</v>
      </c>
      <c r="B12" t="s">
        <v>36</v>
      </c>
      <c r="C12" t="s">
        <v>13</v>
      </c>
      <c r="D12" t="s">
        <v>14</v>
      </c>
      <c r="E12">
        <v>1180</v>
      </c>
      <c r="F12">
        <v>601</v>
      </c>
      <c r="G12">
        <v>51</v>
      </c>
      <c r="H12">
        <v>7.8</v>
      </c>
      <c r="I12" t="s">
        <v>15</v>
      </c>
      <c r="J12" t="s">
        <v>16</v>
      </c>
      <c r="K12">
        <v>115</v>
      </c>
      <c r="L12">
        <v>2.2000000000000002</v>
      </c>
    </row>
    <row r="13" spans="1:12" x14ac:dyDescent="0.25">
      <c r="A13">
        <v>2023</v>
      </c>
      <c r="B13" t="s">
        <v>36</v>
      </c>
      <c r="C13" t="s">
        <v>13</v>
      </c>
      <c r="D13" t="s">
        <v>17</v>
      </c>
      <c r="E13">
        <v>920</v>
      </c>
      <c r="F13">
        <v>496</v>
      </c>
      <c r="G13">
        <v>54</v>
      </c>
      <c r="H13">
        <v>6.5</v>
      </c>
      <c r="I13" t="s">
        <v>18</v>
      </c>
      <c r="J13" t="s">
        <v>19</v>
      </c>
      <c r="K13">
        <v>90</v>
      </c>
      <c r="L13">
        <v>1.9</v>
      </c>
    </row>
    <row r="14" spans="1:12" x14ac:dyDescent="0.25">
      <c r="A14">
        <v>2023</v>
      </c>
      <c r="B14" t="s">
        <v>36</v>
      </c>
      <c r="C14" t="s">
        <v>13</v>
      </c>
      <c r="D14" t="s">
        <v>20</v>
      </c>
      <c r="E14">
        <v>780</v>
      </c>
      <c r="F14">
        <v>382</v>
      </c>
      <c r="G14">
        <v>49</v>
      </c>
      <c r="H14">
        <v>5</v>
      </c>
      <c r="I14" t="s">
        <v>21</v>
      </c>
      <c r="J14" t="s">
        <v>22</v>
      </c>
      <c r="K14">
        <v>75</v>
      </c>
      <c r="L14">
        <v>2.6</v>
      </c>
    </row>
    <row r="15" spans="1:12" x14ac:dyDescent="0.25">
      <c r="A15">
        <v>2023</v>
      </c>
      <c r="B15" t="s">
        <v>36</v>
      </c>
      <c r="C15" t="s">
        <v>23</v>
      </c>
      <c r="D15" t="s">
        <v>24</v>
      </c>
      <c r="E15">
        <v>2050</v>
      </c>
      <c r="F15">
        <v>800</v>
      </c>
      <c r="G15">
        <v>39</v>
      </c>
      <c r="H15">
        <v>11.2</v>
      </c>
      <c r="I15" t="s">
        <v>15</v>
      </c>
      <c r="J15" t="s">
        <v>25</v>
      </c>
      <c r="K15">
        <v>190</v>
      </c>
      <c r="L15">
        <v>7</v>
      </c>
    </row>
    <row r="16" spans="1:12" x14ac:dyDescent="0.25">
      <c r="A16">
        <v>2023</v>
      </c>
      <c r="B16" t="s">
        <v>36</v>
      </c>
      <c r="C16" t="s">
        <v>23</v>
      </c>
      <c r="D16" t="s">
        <v>26</v>
      </c>
      <c r="E16">
        <v>1750</v>
      </c>
      <c r="F16">
        <v>612</v>
      </c>
      <c r="G16">
        <v>35</v>
      </c>
      <c r="H16">
        <v>8.9</v>
      </c>
      <c r="I16" t="s">
        <v>15</v>
      </c>
      <c r="J16" t="s">
        <v>27</v>
      </c>
      <c r="K16">
        <v>160</v>
      </c>
      <c r="L16">
        <v>5.4</v>
      </c>
    </row>
    <row r="17" spans="1:12" x14ac:dyDescent="0.25">
      <c r="A17">
        <v>2023</v>
      </c>
      <c r="B17" t="s">
        <v>37</v>
      </c>
      <c r="C17" t="s">
        <v>13</v>
      </c>
      <c r="D17" t="s">
        <v>14</v>
      </c>
      <c r="E17">
        <v>1120</v>
      </c>
      <c r="F17">
        <v>571</v>
      </c>
      <c r="G17">
        <v>51</v>
      </c>
      <c r="H17">
        <v>7.2</v>
      </c>
      <c r="I17" t="s">
        <v>15</v>
      </c>
      <c r="J17" t="s">
        <v>16</v>
      </c>
      <c r="K17">
        <v>110</v>
      </c>
      <c r="L17">
        <v>2.2999999999999998</v>
      </c>
    </row>
    <row r="18" spans="1:12" x14ac:dyDescent="0.25">
      <c r="A18">
        <v>2023</v>
      </c>
      <c r="B18" t="s">
        <v>37</v>
      </c>
      <c r="C18" t="s">
        <v>13</v>
      </c>
      <c r="D18" t="s">
        <v>17</v>
      </c>
      <c r="E18">
        <v>880</v>
      </c>
      <c r="F18">
        <v>475</v>
      </c>
      <c r="G18">
        <v>54</v>
      </c>
      <c r="H18">
        <v>6</v>
      </c>
      <c r="I18" t="s">
        <v>18</v>
      </c>
      <c r="J18" t="s">
        <v>19</v>
      </c>
      <c r="K18">
        <v>85</v>
      </c>
      <c r="L18">
        <v>2</v>
      </c>
    </row>
    <row r="19" spans="1:12" x14ac:dyDescent="0.25">
      <c r="A19">
        <v>2023</v>
      </c>
      <c r="B19" t="s">
        <v>37</v>
      </c>
      <c r="C19" t="s">
        <v>23</v>
      </c>
      <c r="D19" t="s">
        <v>24</v>
      </c>
      <c r="E19">
        <v>1980</v>
      </c>
      <c r="F19">
        <v>752</v>
      </c>
      <c r="G19">
        <v>38</v>
      </c>
      <c r="H19">
        <v>10.5</v>
      </c>
      <c r="I19" t="s">
        <v>15</v>
      </c>
      <c r="J19" t="s">
        <v>25</v>
      </c>
      <c r="K19">
        <v>185</v>
      </c>
      <c r="L19">
        <v>7.2</v>
      </c>
    </row>
    <row r="20" spans="1:12" x14ac:dyDescent="0.25">
      <c r="A20">
        <v>2023</v>
      </c>
      <c r="B20" t="s">
        <v>38</v>
      </c>
      <c r="C20" t="s">
        <v>13</v>
      </c>
      <c r="D20" t="s">
        <v>14</v>
      </c>
      <c r="E20">
        <v>1080</v>
      </c>
      <c r="F20">
        <v>551</v>
      </c>
      <c r="G20">
        <v>51</v>
      </c>
      <c r="H20">
        <v>6.8</v>
      </c>
      <c r="I20" t="s">
        <v>15</v>
      </c>
      <c r="J20" t="s">
        <v>16</v>
      </c>
      <c r="K20">
        <v>105</v>
      </c>
      <c r="L20">
        <v>2.4</v>
      </c>
    </row>
    <row r="21" spans="1:12" x14ac:dyDescent="0.25">
      <c r="A21">
        <v>2023</v>
      </c>
      <c r="B21" t="s">
        <v>38</v>
      </c>
      <c r="C21" t="s">
        <v>13</v>
      </c>
      <c r="D21" t="s">
        <v>17</v>
      </c>
      <c r="E21">
        <v>850</v>
      </c>
      <c r="F21">
        <v>459</v>
      </c>
      <c r="G21">
        <v>54</v>
      </c>
      <c r="H21">
        <v>5.8</v>
      </c>
      <c r="I21" t="s">
        <v>18</v>
      </c>
      <c r="J21" t="s">
        <v>19</v>
      </c>
      <c r="K21">
        <v>80</v>
      </c>
      <c r="L21">
        <v>2.1</v>
      </c>
    </row>
    <row r="22" spans="1:12" x14ac:dyDescent="0.25">
      <c r="A22">
        <v>2022</v>
      </c>
      <c r="B22" t="s">
        <v>12</v>
      </c>
      <c r="C22" t="s">
        <v>13</v>
      </c>
      <c r="D22" t="s">
        <v>14</v>
      </c>
      <c r="E22">
        <v>1150</v>
      </c>
      <c r="F22">
        <v>563</v>
      </c>
      <c r="G22">
        <v>49</v>
      </c>
      <c r="H22">
        <v>6.2</v>
      </c>
      <c r="I22" t="s">
        <v>15</v>
      </c>
      <c r="J22" t="s">
        <v>16</v>
      </c>
      <c r="K22">
        <v>110</v>
      </c>
      <c r="L22">
        <v>2.5</v>
      </c>
    </row>
    <row r="23" spans="1:12" x14ac:dyDescent="0.25">
      <c r="A23">
        <v>2022</v>
      </c>
      <c r="B23" t="s">
        <v>12</v>
      </c>
      <c r="C23" t="s">
        <v>13</v>
      </c>
      <c r="D23" t="s">
        <v>17</v>
      </c>
      <c r="E23">
        <v>910</v>
      </c>
      <c r="F23">
        <v>473</v>
      </c>
      <c r="G23">
        <v>52</v>
      </c>
      <c r="H23">
        <v>5.2</v>
      </c>
      <c r="I23" t="s">
        <v>18</v>
      </c>
      <c r="J23" t="s">
        <v>19</v>
      </c>
      <c r="K23">
        <v>85</v>
      </c>
      <c r="L23">
        <v>2.2000000000000002</v>
      </c>
    </row>
    <row r="24" spans="1:12" x14ac:dyDescent="0.25">
      <c r="A24">
        <v>2022</v>
      </c>
      <c r="B24" t="s">
        <v>12</v>
      </c>
      <c r="C24" t="s">
        <v>23</v>
      </c>
      <c r="D24" t="s">
        <v>24</v>
      </c>
      <c r="E24">
        <v>1910</v>
      </c>
      <c r="F24">
        <v>688</v>
      </c>
      <c r="G24">
        <v>36</v>
      </c>
      <c r="H24">
        <v>8.6999999999999993</v>
      </c>
      <c r="I24" t="s">
        <v>15</v>
      </c>
      <c r="J24" t="s">
        <v>25</v>
      </c>
      <c r="K24">
        <v>170</v>
      </c>
      <c r="L24">
        <v>7.8</v>
      </c>
    </row>
    <row r="25" spans="1:12" x14ac:dyDescent="0.25">
      <c r="A25">
        <v>2022</v>
      </c>
      <c r="B25" t="s">
        <v>12</v>
      </c>
      <c r="C25" t="s">
        <v>23</v>
      </c>
      <c r="D25" t="s">
        <v>26</v>
      </c>
      <c r="E25">
        <v>1680</v>
      </c>
      <c r="F25">
        <v>571</v>
      </c>
      <c r="G25">
        <v>34</v>
      </c>
      <c r="H25">
        <v>7.2</v>
      </c>
      <c r="I25" t="s">
        <v>15</v>
      </c>
      <c r="J25" t="s">
        <v>27</v>
      </c>
      <c r="K25">
        <v>150</v>
      </c>
      <c r="L25">
        <v>6.1</v>
      </c>
    </row>
    <row r="26" spans="1:12" x14ac:dyDescent="0.25">
      <c r="A26">
        <v>2022</v>
      </c>
      <c r="B26" t="s">
        <v>12</v>
      </c>
      <c r="C26" t="s">
        <v>29</v>
      </c>
      <c r="D26" t="s">
        <v>30</v>
      </c>
      <c r="E26">
        <v>3690</v>
      </c>
      <c r="F26">
        <v>332</v>
      </c>
      <c r="G26">
        <v>9</v>
      </c>
      <c r="H26">
        <v>3.5</v>
      </c>
      <c r="I26" t="s">
        <v>31</v>
      </c>
      <c r="J26" t="s">
        <v>22</v>
      </c>
      <c r="K26">
        <v>140</v>
      </c>
      <c r="L26">
        <v>0.9</v>
      </c>
    </row>
    <row r="27" spans="1:12" x14ac:dyDescent="0.25">
      <c r="A27">
        <v>2022</v>
      </c>
      <c r="B27" t="s">
        <v>12</v>
      </c>
      <c r="C27" t="s">
        <v>33</v>
      </c>
      <c r="D27" t="s">
        <v>34</v>
      </c>
      <c r="E27">
        <v>1420</v>
      </c>
      <c r="F27">
        <v>525</v>
      </c>
      <c r="G27">
        <v>37</v>
      </c>
      <c r="H27">
        <v>12.8</v>
      </c>
      <c r="I27" t="s">
        <v>15</v>
      </c>
      <c r="J27" t="s">
        <v>25</v>
      </c>
      <c r="K27">
        <v>160</v>
      </c>
      <c r="L27">
        <v>3.8</v>
      </c>
    </row>
    <row r="28" spans="1:12" x14ac:dyDescent="0.25">
      <c r="A28">
        <v>2022</v>
      </c>
      <c r="B28" t="s">
        <v>36</v>
      </c>
      <c r="C28" t="s">
        <v>13</v>
      </c>
      <c r="D28" t="s">
        <v>14</v>
      </c>
      <c r="E28">
        <v>1090</v>
      </c>
      <c r="F28">
        <v>525</v>
      </c>
      <c r="G28">
        <v>48</v>
      </c>
      <c r="H28">
        <v>5.8</v>
      </c>
      <c r="I28" t="s">
        <v>15</v>
      </c>
      <c r="J28" t="s">
        <v>16</v>
      </c>
      <c r="K28">
        <v>105</v>
      </c>
      <c r="L28">
        <v>2.6</v>
      </c>
    </row>
    <row r="29" spans="1:12" x14ac:dyDescent="0.25">
      <c r="A29">
        <v>2022</v>
      </c>
      <c r="B29" t="s">
        <v>36</v>
      </c>
      <c r="C29" t="s">
        <v>23</v>
      </c>
      <c r="D29" t="s">
        <v>24</v>
      </c>
      <c r="E29">
        <v>1840</v>
      </c>
      <c r="F29">
        <v>643</v>
      </c>
      <c r="G29">
        <v>35</v>
      </c>
      <c r="H29">
        <v>7.9</v>
      </c>
      <c r="I29" t="s">
        <v>15</v>
      </c>
      <c r="J29" t="s">
        <v>25</v>
      </c>
      <c r="K29">
        <v>165</v>
      </c>
      <c r="L29">
        <v>8</v>
      </c>
    </row>
    <row r="30" spans="1:12" x14ac:dyDescent="0.25">
      <c r="A30">
        <v>2022</v>
      </c>
      <c r="B30" t="s">
        <v>37</v>
      </c>
      <c r="C30" t="s">
        <v>13</v>
      </c>
      <c r="D30" t="s">
        <v>14</v>
      </c>
      <c r="E30">
        <v>1040</v>
      </c>
      <c r="F30">
        <v>499</v>
      </c>
      <c r="G30">
        <v>48</v>
      </c>
      <c r="H30">
        <v>5.3</v>
      </c>
      <c r="I30" t="s">
        <v>15</v>
      </c>
      <c r="J30" t="s">
        <v>16</v>
      </c>
      <c r="K30">
        <v>100</v>
      </c>
      <c r="L30">
        <v>2.7</v>
      </c>
    </row>
    <row r="31" spans="1:12" x14ac:dyDescent="0.25">
      <c r="A31">
        <v>2022</v>
      </c>
      <c r="B31" t="s">
        <v>37</v>
      </c>
      <c r="C31" t="s">
        <v>23</v>
      </c>
      <c r="D31" t="s">
        <v>24</v>
      </c>
      <c r="E31">
        <v>1790</v>
      </c>
      <c r="F31">
        <v>608</v>
      </c>
      <c r="G31">
        <v>34</v>
      </c>
      <c r="H31">
        <v>7.2</v>
      </c>
      <c r="I31" t="s">
        <v>15</v>
      </c>
      <c r="J31" t="s">
        <v>25</v>
      </c>
      <c r="K31">
        <v>160</v>
      </c>
      <c r="L31">
        <v>8.1999999999999993</v>
      </c>
    </row>
    <row r="32" spans="1:12" x14ac:dyDescent="0.25">
      <c r="A32">
        <v>2022</v>
      </c>
      <c r="B32" t="s">
        <v>38</v>
      </c>
      <c r="C32" t="s">
        <v>13</v>
      </c>
      <c r="D32" t="s">
        <v>14</v>
      </c>
      <c r="E32">
        <v>1010</v>
      </c>
      <c r="F32">
        <v>475</v>
      </c>
      <c r="G32">
        <v>47</v>
      </c>
      <c r="H32">
        <v>4.8</v>
      </c>
      <c r="I32" t="s">
        <v>15</v>
      </c>
      <c r="J32" t="s">
        <v>16</v>
      </c>
      <c r="K32">
        <v>95</v>
      </c>
      <c r="L32">
        <v>2.8</v>
      </c>
    </row>
    <row r="33" spans="1:12" x14ac:dyDescent="0.25">
      <c r="A33">
        <v>2021</v>
      </c>
      <c r="B33" t="s">
        <v>12</v>
      </c>
      <c r="C33" t="s">
        <v>13</v>
      </c>
      <c r="D33" t="s">
        <v>14</v>
      </c>
      <c r="E33">
        <v>1080</v>
      </c>
      <c r="F33">
        <v>486</v>
      </c>
      <c r="G33">
        <v>45</v>
      </c>
      <c r="H33">
        <v>3.2</v>
      </c>
      <c r="I33" t="s">
        <v>15</v>
      </c>
      <c r="J33" t="s">
        <v>16</v>
      </c>
      <c r="K33">
        <v>90</v>
      </c>
      <c r="L33">
        <v>3</v>
      </c>
    </row>
    <row r="34" spans="1:12" x14ac:dyDescent="0.25">
      <c r="A34">
        <v>2021</v>
      </c>
      <c r="B34" t="s">
        <v>12</v>
      </c>
      <c r="C34" t="s">
        <v>23</v>
      </c>
      <c r="D34" t="s">
        <v>24</v>
      </c>
      <c r="E34">
        <v>1750</v>
      </c>
      <c r="F34">
        <v>560</v>
      </c>
      <c r="G34">
        <v>32</v>
      </c>
      <c r="H34">
        <v>5.8</v>
      </c>
      <c r="I34" t="s">
        <v>15</v>
      </c>
      <c r="J34" t="s">
        <v>25</v>
      </c>
      <c r="K34">
        <v>150</v>
      </c>
      <c r="L34">
        <v>8.5</v>
      </c>
    </row>
    <row r="35" spans="1:12" x14ac:dyDescent="0.25">
      <c r="A35">
        <v>2021</v>
      </c>
      <c r="B35" t="s">
        <v>12</v>
      </c>
      <c r="C35" t="s">
        <v>29</v>
      </c>
      <c r="D35" t="s">
        <v>30</v>
      </c>
      <c r="E35">
        <v>3560</v>
      </c>
      <c r="F35">
        <v>285</v>
      </c>
      <c r="G35">
        <v>8</v>
      </c>
      <c r="H35">
        <v>2.8</v>
      </c>
      <c r="I35" t="s">
        <v>31</v>
      </c>
      <c r="J35" t="s">
        <v>22</v>
      </c>
      <c r="K35">
        <v>130</v>
      </c>
      <c r="L35">
        <v>1</v>
      </c>
    </row>
    <row r="36" spans="1:12" x14ac:dyDescent="0.25">
      <c r="A36">
        <v>2020</v>
      </c>
      <c r="B36" t="s">
        <v>12</v>
      </c>
      <c r="C36" t="s">
        <v>13</v>
      </c>
      <c r="D36" t="s">
        <v>14</v>
      </c>
      <c r="E36">
        <v>1045</v>
      </c>
      <c r="F36">
        <v>418</v>
      </c>
      <c r="G36">
        <v>40</v>
      </c>
      <c r="H36">
        <v>-1.5</v>
      </c>
      <c r="I36" t="s">
        <v>15</v>
      </c>
      <c r="J36" t="s">
        <v>16</v>
      </c>
      <c r="K36">
        <v>85</v>
      </c>
      <c r="L36">
        <v>3.5</v>
      </c>
    </row>
    <row r="37" spans="1:12" x14ac:dyDescent="0.25">
      <c r="A37">
        <v>2020</v>
      </c>
      <c r="B37" t="s">
        <v>12</v>
      </c>
      <c r="C37" t="s">
        <v>23</v>
      </c>
      <c r="D37" t="s">
        <v>24</v>
      </c>
      <c r="E37">
        <v>1650</v>
      </c>
      <c r="F37">
        <v>462</v>
      </c>
      <c r="G37">
        <v>28</v>
      </c>
      <c r="H37">
        <v>-4.2</v>
      </c>
      <c r="I37" t="s">
        <v>15</v>
      </c>
      <c r="J37" t="s">
        <v>25</v>
      </c>
      <c r="K37">
        <v>140</v>
      </c>
      <c r="L37">
        <v>9</v>
      </c>
    </row>
    <row r="38" spans="1:12" x14ac:dyDescent="0.25">
      <c r="A38">
        <v>2019</v>
      </c>
      <c r="B38" t="s">
        <v>12</v>
      </c>
      <c r="C38" t="s">
        <v>13</v>
      </c>
      <c r="D38" t="s">
        <v>14</v>
      </c>
      <c r="E38">
        <v>1060</v>
      </c>
      <c r="F38">
        <v>371</v>
      </c>
      <c r="G38">
        <v>35</v>
      </c>
      <c r="H38">
        <v>4.5</v>
      </c>
      <c r="I38" t="s">
        <v>15</v>
      </c>
      <c r="J38" t="s">
        <v>16</v>
      </c>
      <c r="K38">
        <v>80</v>
      </c>
      <c r="L38">
        <v>3.2</v>
      </c>
    </row>
    <row r="39" spans="1:12" x14ac:dyDescent="0.25">
      <c r="A39">
        <v>2019</v>
      </c>
      <c r="B39" t="s">
        <v>12</v>
      </c>
      <c r="C39" t="s">
        <v>23</v>
      </c>
      <c r="D39" t="s">
        <v>24</v>
      </c>
      <c r="E39">
        <v>1720</v>
      </c>
      <c r="F39">
        <v>447</v>
      </c>
      <c r="G39">
        <v>26</v>
      </c>
      <c r="H39">
        <v>3.8</v>
      </c>
      <c r="I39" t="s">
        <v>15</v>
      </c>
      <c r="J39" t="s">
        <v>25</v>
      </c>
      <c r="K39">
        <v>135</v>
      </c>
      <c r="L39">
        <v>8.8000000000000007</v>
      </c>
    </row>
    <row r="40" spans="1:12" x14ac:dyDescent="0.25">
      <c r="A40">
        <v>2018</v>
      </c>
      <c r="B40" t="s">
        <v>12</v>
      </c>
      <c r="C40" t="s">
        <v>13</v>
      </c>
      <c r="D40" t="s">
        <v>14</v>
      </c>
      <c r="E40">
        <v>1015</v>
      </c>
      <c r="F40">
        <v>304</v>
      </c>
      <c r="G40">
        <v>30</v>
      </c>
      <c r="H40">
        <v>3.2</v>
      </c>
      <c r="I40" t="s">
        <v>15</v>
      </c>
      <c r="J40" t="s">
        <v>16</v>
      </c>
      <c r="K40">
        <v>75</v>
      </c>
      <c r="L40">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69FAC-E7C8-48DF-88C5-5BC67340EB3B}">
  <dimension ref="A1:P40"/>
  <sheetViews>
    <sheetView tabSelected="1" zoomScale="80" zoomScaleNormal="80" workbookViewId="0">
      <selection activeCell="S13" sqref="S13"/>
    </sheetView>
  </sheetViews>
  <sheetFormatPr defaultRowHeight="15" x14ac:dyDescent="0.25"/>
  <cols>
    <col min="1" max="1" width="10.7109375" customWidth="1"/>
    <col min="2" max="2" width="13" customWidth="1"/>
    <col min="3" max="3" width="14.42578125" customWidth="1"/>
    <col min="4" max="4" width="17.42578125" customWidth="1"/>
    <col min="5" max="6" width="14.85546875" customWidth="1"/>
    <col min="7" max="7" width="21.28515625" customWidth="1"/>
    <col min="8" max="8" width="15.28515625" customWidth="1"/>
    <col min="9" max="9" width="13.42578125" customWidth="1"/>
    <col min="10" max="10" width="21" customWidth="1"/>
    <col min="11" max="11" width="20.42578125" customWidth="1"/>
    <col min="12" max="12" width="14.7109375" customWidth="1"/>
    <col min="13" max="14" width="16.28515625" customWidth="1"/>
    <col min="15" max="15" width="18" customWidth="1"/>
    <col min="16" max="16" width="19.140625" customWidth="1"/>
    <col min="17" max="17" width="11.85546875" customWidth="1"/>
  </cols>
  <sheetData>
    <row r="1" spans="1:16" x14ac:dyDescent="0.25">
      <c r="A1" t="s">
        <v>0</v>
      </c>
      <c r="B1" t="s">
        <v>1</v>
      </c>
      <c r="C1" t="s">
        <v>2</v>
      </c>
      <c r="D1" t="s">
        <v>3</v>
      </c>
      <c r="E1" t="s">
        <v>4</v>
      </c>
      <c r="F1" t="s">
        <v>5</v>
      </c>
      <c r="G1" t="s">
        <v>6</v>
      </c>
      <c r="H1" t="s">
        <v>7</v>
      </c>
      <c r="I1" t="s">
        <v>8</v>
      </c>
      <c r="J1" t="s">
        <v>9</v>
      </c>
      <c r="K1" t="s">
        <v>10</v>
      </c>
      <c r="L1" t="s">
        <v>11</v>
      </c>
      <c r="M1" t="s">
        <v>39</v>
      </c>
      <c r="N1" t="s">
        <v>40</v>
      </c>
      <c r="O1" t="s">
        <v>41</v>
      </c>
      <c r="P1" t="s">
        <v>42</v>
      </c>
    </row>
    <row r="2" spans="1:16" x14ac:dyDescent="0.25">
      <c r="A2">
        <v>2023</v>
      </c>
      <c r="B2" t="s">
        <v>12</v>
      </c>
      <c r="C2" t="s">
        <v>13</v>
      </c>
      <c r="D2" t="s">
        <v>14</v>
      </c>
      <c r="E2">
        <v>1250</v>
      </c>
      <c r="F2">
        <v>650</v>
      </c>
      <c r="G2">
        <v>52</v>
      </c>
      <c r="H2">
        <v>8.5</v>
      </c>
      <c r="I2" t="s">
        <v>15</v>
      </c>
      <c r="J2" t="s">
        <v>16</v>
      </c>
      <c r="K2">
        <v>120</v>
      </c>
      <c r="L2">
        <v>2.1</v>
      </c>
      <c r="M2">
        <f xml:space="preserve"> Table13[[#This Row],[Online_Sales]] - (Table13[[#This Row],[Marketing_Spend]] + (Table13[[#This Row],[Online_Sales]]*Table13[[#This Row],[Return_Rate]]/100))</f>
        <v>516.35</v>
      </c>
      <c r="N2" t="str">
        <f xml:space="preserve"> IF(Table13[[#This Row],[YoY_Growth]] &gt; 10,"High", IF(Table13[[#This Row],[YoY_Growth]] &gt; 5,"Medium", "Low"))</f>
        <v>Medium</v>
      </c>
      <c r="O2">
        <f xml:space="preserve"> Table13[[#This Row],[Online_Sales]] / Table13[[#This Row],[Marketing_Spend]]</f>
        <v>5.416666666666667</v>
      </c>
      <c r="P2">
        <f xml:space="preserve"> Table13[[#This Row],[Online_Sales]] /1000</f>
        <v>0.65</v>
      </c>
    </row>
    <row r="3" spans="1:16" x14ac:dyDescent="0.25">
      <c r="A3">
        <v>2023</v>
      </c>
      <c r="B3" t="s">
        <v>12</v>
      </c>
      <c r="C3" t="s">
        <v>13</v>
      </c>
      <c r="D3" t="s">
        <v>17</v>
      </c>
      <c r="E3">
        <v>980</v>
      </c>
      <c r="F3">
        <v>539</v>
      </c>
      <c r="G3">
        <v>55</v>
      </c>
      <c r="H3">
        <v>7.2</v>
      </c>
      <c r="I3" t="s">
        <v>18</v>
      </c>
      <c r="J3" t="s">
        <v>19</v>
      </c>
      <c r="K3">
        <v>95</v>
      </c>
      <c r="L3">
        <v>1.8</v>
      </c>
      <c r="M3">
        <f xml:space="preserve"> Table13[[#This Row],[Online_Sales]] - (Table13[[#This Row],[Marketing_Spend]] + (Table13[[#This Row],[Online_Sales]]*Table13[[#This Row],[Return_Rate]]/100))</f>
        <v>434.298</v>
      </c>
      <c r="N3" t="str">
        <f xml:space="preserve"> IF(Table13[[#This Row],[YoY_Growth]] &gt; 10,"High", IF(Table13[[#This Row],[YoY_Growth]] &gt; 5,"Medium", "Low"))</f>
        <v>Medium</v>
      </c>
      <c r="O3">
        <f xml:space="preserve"> Table13[[#This Row],[Online_Sales]] / Table13[[#This Row],[Marketing_Spend]]</f>
        <v>5.6736842105263161</v>
      </c>
      <c r="P3">
        <f xml:space="preserve"> Table13[[#This Row],[Online_Sales]] /1000</f>
        <v>0.53900000000000003</v>
      </c>
    </row>
    <row r="4" spans="1:16" x14ac:dyDescent="0.25">
      <c r="A4">
        <v>2023</v>
      </c>
      <c r="B4" t="s">
        <v>12</v>
      </c>
      <c r="C4" t="s">
        <v>13</v>
      </c>
      <c r="D4" t="s">
        <v>20</v>
      </c>
      <c r="E4">
        <v>820</v>
      </c>
      <c r="F4">
        <v>410</v>
      </c>
      <c r="G4">
        <v>50</v>
      </c>
      <c r="H4">
        <v>5.5</v>
      </c>
      <c r="I4" t="s">
        <v>21</v>
      </c>
      <c r="J4" t="s">
        <v>22</v>
      </c>
      <c r="K4">
        <v>80</v>
      </c>
      <c r="L4">
        <v>2.5</v>
      </c>
      <c r="M4">
        <f xml:space="preserve"> Table13[[#This Row],[Online_Sales]] - (Table13[[#This Row],[Marketing_Spend]] + (Table13[[#This Row],[Online_Sales]]*Table13[[#This Row],[Return_Rate]]/100))</f>
        <v>319.75</v>
      </c>
      <c r="N4" t="str">
        <f xml:space="preserve"> IF(Table13[[#This Row],[YoY_Growth]] &gt; 10,"High", IF(Table13[[#This Row],[YoY_Growth]] &gt; 5,"Medium", "Low"))</f>
        <v>Medium</v>
      </c>
      <c r="O4">
        <f xml:space="preserve"> Table13[[#This Row],[Online_Sales]] / Table13[[#This Row],[Marketing_Spend]]</f>
        <v>5.125</v>
      </c>
      <c r="P4">
        <f xml:space="preserve"> Table13[[#This Row],[Online_Sales]] /1000</f>
        <v>0.41</v>
      </c>
    </row>
    <row r="5" spans="1:16" x14ac:dyDescent="0.25">
      <c r="A5">
        <v>2023</v>
      </c>
      <c r="B5" t="s">
        <v>12</v>
      </c>
      <c r="C5" t="s">
        <v>23</v>
      </c>
      <c r="D5" t="s">
        <v>24</v>
      </c>
      <c r="E5">
        <v>2150</v>
      </c>
      <c r="F5">
        <v>860</v>
      </c>
      <c r="G5">
        <v>40</v>
      </c>
      <c r="H5">
        <v>12.3</v>
      </c>
      <c r="I5" t="s">
        <v>15</v>
      </c>
      <c r="J5" t="s">
        <v>25</v>
      </c>
      <c r="K5">
        <v>200</v>
      </c>
      <c r="L5">
        <v>6.8</v>
      </c>
      <c r="M5">
        <f xml:space="preserve"> Table13[[#This Row],[Online_Sales]] - (Table13[[#This Row],[Marketing_Spend]] + (Table13[[#This Row],[Online_Sales]]*Table13[[#This Row],[Return_Rate]]/100))</f>
        <v>601.52</v>
      </c>
      <c r="N5" t="str">
        <f xml:space="preserve"> IF(Table13[[#This Row],[YoY_Growth]] &gt; 10,"High", IF(Table13[[#This Row],[YoY_Growth]] &gt; 5,"Medium", "Low"))</f>
        <v>High</v>
      </c>
      <c r="O5">
        <f xml:space="preserve"> Table13[[#This Row],[Online_Sales]] / Table13[[#This Row],[Marketing_Spend]]</f>
        <v>4.3</v>
      </c>
      <c r="P5">
        <f xml:space="preserve"> Table13[[#This Row],[Online_Sales]] /1000</f>
        <v>0.86</v>
      </c>
    </row>
    <row r="6" spans="1:16" x14ac:dyDescent="0.25">
      <c r="A6">
        <v>2023</v>
      </c>
      <c r="B6" t="s">
        <v>12</v>
      </c>
      <c r="C6" t="s">
        <v>23</v>
      </c>
      <c r="D6" t="s">
        <v>26</v>
      </c>
      <c r="E6">
        <v>1850</v>
      </c>
      <c r="F6">
        <v>666</v>
      </c>
      <c r="G6">
        <v>36</v>
      </c>
      <c r="H6">
        <v>9.8000000000000007</v>
      </c>
      <c r="I6" t="s">
        <v>15</v>
      </c>
      <c r="J6" t="s">
        <v>27</v>
      </c>
      <c r="K6">
        <v>170</v>
      </c>
      <c r="L6">
        <v>5.2</v>
      </c>
      <c r="M6">
        <f xml:space="preserve"> Table13[[#This Row],[Online_Sales]] - (Table13[[#This Row],[Marketing_Spend]] + (Table13[[#This Row],[Online_Sales]]*Table13[[#This Row],[Return_Rate]]/100))</f>
        <v>461.36799999999999</v>
      </c>
      <c r="N6" t="str">
        <f xml:space="preserve"> IF(Table13[[#This Row],[YoY_Growth]] &gt; 10,"High", IF(Table13[[#This Row],[YoY_Growth]] &gt; 5,"Medium", "Low"))</f>
        <v>Medium</v>
      </c>
      <c r="O6">
        <f xml:space="preserve"> Table13[[#This Row],[Online_Sales]] / Table13[[#This Row],[Marketing_Spend]]</f>
        <v>3.9176470588235293</v>
      </c>
      <c r="P6">
        <f xml:space="preserve"> Table13[[#This Row],[Online_Sales]] /1000</f>
        <v>0.66600000000000004</v>
      </c>
    </row>
    <row r="7" spans="1:16" x14ac:dyDescent="0.25">
      <c r="A7">
        <v>2023</v>
      </c>
      <c r="B7" t="s">
        <v>12</v>
      </c>
      <c r="C7" t="s">
        <v>23</v>
      </c>
      <c r="D7" t="s">
        <v>28</v>
      </c>
      <c r="E7">
        <v>1350</v>
      </c>
      <c r="F7">
        <v>540</v>
      </c>
      <c r="G7">
        <v>40</v>
      </c>
      <c r="H7">
        <v>8.4</v>
      </c>
      <c r="I7" t="s">
        <v>18</v>
      </c>
      <c r="J7" t="s">
        <v>16</v>
      </c>
      <c r="K7">
        <v>130</v>
      </c>
      <c r="L7">
        <v>7.1</v>
      </c>
      <c r="M7">
        <f xml:space="preserve"> Table13[[#This Row],[Online_Sales]] - (Table13[[#This Row],[Marketing_Spend]] + (Table13[[#This Row],[Online_Sales]]*Table13[[#This Row],[Return_Rate]]/100))</f>
        <v>371.65999999999997</v>
      </c>
      <c r="N7" t="str">
        <f xml:space="preserve"> IF(Table13[[#This Row],[YoY_Growth]] &gt; 10,"High", IF(Table13[[#This Row],[YoY_Growth]] &gt; 5,"Medium", "Low"))</f>
        <v>Medium</v>
      </c>
      <c r="O7">
        <f xml:space="preserve"> Table13[[#This Row],[Online_Sales]] / Table13[[#This Row],[Marketing_Spend]]</f>
        <v>4.1538461538461542</v>
      </c>
      <c r="P7">
        <f xml:space="preserve"> Table13[[#This Row],[Online_Sales]] /1000</f>
        <v>0.54</v>
      </c>
    </row>
    <row r="8" spans="1:16" x14ac:dyDescent="0.25">
      <c r="A8">
        <v>2023</v>
      </c>
      <c r="B8" t="s">
        <v>12</v>
      </c>
      <c r="C8" t="s">
        <v>29</v>
      </c>
      <c r="D8" t="s">
        <v>30</v>
      </c>
      <c r="E8">
        <v>3850</v>
      </c>
      <c r="F8">
        <v>385</v>
      </c>
      <c r="G8">
        <v>10</v>
      </c>
      <c r="H8">
        <v>4.2</v>
      </c>
      <c r="I8" t="s">
        <v>31</v>
      </c>
      <c r="J8" t="s">
        <v>22</v>
      </c>
      <c r="K8">
        <v>150</v>
      </c>
      <c r="L8">
        <v>0.8</v>
      </c>
      <c r="M8">
        <f xml:space="preserve"> Table13[[#This Row],[Online_Sales]] - (Table13[[#This Row],[Marketing_Spend]] + (Table13[[#This Row],[Online_Sales]]*Table13[[#This Row],[Return_Rate]]/100))</f>
        <v>231.92</v>
      </c>
      <c r="N8" t="str">
        <f xml:space="preserve"> IF(Table13[[#This Row],[YoY_Growth]] &gt; 10,"High", IF(Table13[[#This Row],[YoY_Growth]] &gt; 5,"Medium", "Low"))</f>
        <v>Low</v>
      </c>
      <c r="O8">
        <f xml:space="preserve"> Table13[[#This Row],[Online_Sales]] / Table13[[#This Row],[Marketing_Spend]]</f>
        <v>2.5666666666666669</v>
      </c>
      <c r="P8">
        <f xml:space="preserve"> Table13[[#This Row],[Online_Sales]] /1000</f>
        <v>0.38500000000000001</v>
      </c>
    </row>
    <row r="9" spans="1:16" x14ac:dyDescent="0.25">
      <c r="A9">
        <v>2023</v>
      </c>
      <c r="B9" t="s">
        <v>12</v>
      </c>
      <c r="C9" t="s">
        <v>29</v>
      </c>
      <c r="D9" t="s">
        <v>32</v>
      </c>
      <c r="E9">
        <v>2950</v>
      </c>
      <c r="F9">
        <v>177</v>
      </c>
      <c r="G9">
        <v>6</v>
      </c>
      <c r="H9">
        <v>3.1</v>
      </c>
      <c r="I9" t="s">
        <v>31</v>
      </c>
      <c r="J9" t="s">
        <v>22</v>
      </c>
      <c r="K9">
        <v>100</v>
      </c>
      <c r="L9">
        <v>1.2</v>
      </c>
      <c r="M9">
        <f xml:space="preserve"> Table13[[#This Row],[Online_Sales]] - (Table13[[#This Row],[Marketing_Spend]] + (Table13[[#This Row],[Online_Sales]]*Table13[[#This Row],[Return_Rate]]/100))</f>
        <v>74.876000000000005</v>
      </c>
      <c r="N9" t="str">
        <f xml:space="preserve"> IF(Table13[[#This Row],[YoY_Growth]] &gt; 10,"High", IF(Table13[[#This Row],[YoY_Growth]] &gt; 5,"Medium", "Low"))</f>
        <v>Low</v>
      </c>
      <c r="O9">
        <f xml:space="preserve"> Table13[[#This Row],[Online_Sales]] / Table13[[#This Row],[Marketing_Spend]]</f>
        <v>1.77</v>
      </c>
      <c r="P9">
        <f xml:space="preserve"> Table13[[#This Row],[Online_Sales]] /1000</f>
        <v>0.17699999999999999</v>
      </c>
    </row>
    <row r="10" spans="1:16" x14ac:dyDescent="0.25">
      <c r="A10">
        <v>2023</v>
      </c>
      <c r="B10" t="s">
        <v>12</v>
      </c>
      <c r="C10" t="s">
        <v>33</v>
      </c>
      <c r="D10" t="s">
        <v>34</v>
      </c>
      <c r="E10">
        <v>1650</v>
      </c>
      <c r="F10">
        <v>660</v>
      </c>
      <c r="G10">
        <v>40</v>
      </c>
      <c r="H10">
        <v>15.7</v>
      </c>
      <c r="I10" t="s">
        <v>15</v>
      </c>
      <c r="J10" t="s">
        <v>25</v>
      </c>
      <c r="K10">
        <v>180</v>
      </c>
      <c r="L10">
        <v>3.2</v>
      </c>
      <c r="M10">
        <f xml:space="preserve"> Table13[[#This Row],[Online_Sales]] - (Table13[[#This Row],[Marketing_Spend]] + (Table13[[#This Row],[Online_Sales]]*Table13[[#This Row],[Return_Rate]]/100))</f>
        <v>458.88</v>
      </c>
      <c r="N10" t="str">
        <f xml:space="preserve"> IF(Table13[[#This Row],[YoY_Growth]] &gt; 10,"High", IF(Table13[[#This Row],[YoY_Growth]] &gt; 5,"Medium", "Low"))</f>
        <v>High</v>
      </c>
      <c r="O10">
        <f xml:space="preserve"> Table13[[#This Row],[Online_Sales]] / Table13[[#This Row],[Marketing_Spend]]</f>
        <v>3.6666666666666665</v>
      </c>
      <c r="P10">
        <f xml:space="preserve"> Table13[[#This Row],[Online_Sales]] /1000</f>
        <v>0.66</v>
      </c>
    </row>
    <row r="11" spans="1:16" x14ac:dyDescent="0.25">
      <c r="A11">
        <v>2023</v>
      </c>
      <c r="B11" t="s">
        <v>12</v>
      </c>
      <c r="C11" t="s">
        <v>33</v>
      </c>
      <c r="D11" t="s">
        <v>35</v>
      </c>
      <c r="E11">
        <v>1250</v>
      </c>
      <c r="F11">
        <v>562</v>
      </c>
      <c r="G11">
        <v>45</v>
      </c>
      <c r="H11">
        <v>14.2</v>
      </c>
      <c r="I11" t="s">
        <v>15</v>
      </c>
      <c r="J11" t="s">
        <v>16</v>
      </c>
      <c r="K11">
        <v>160</v>
      </c>
      <c r="L11">
        <v>2.9</v>
      </c>
      <c r="M11">
        <f xml:space="preserve"> Table13[[#This Row],[Online_Sales]] - (Table13[[#This Row],[Marketing_Spend]] + (Table13[[#This Row],[Online_Sales]]*Table13[[#This Row],[Return_Rate]]/100))</f>
        <v>385.702</v>
      </c>
      <c r="N11" t="str">
        <f xml:space="preserve"> IF(Table13[[#This Row],[YoY_Growth]] &gt; 10,"High", IF(Table13[[#This Row],[YoY_Growth]] &gt; 5,"Medium", "Low"))</f>
        <v>High</v>
      </c>
      <c r="O11">
        <f xml:space="preserve"> Table13[[#This Row],[Online_Sales]] / Table13[[#This Row],[Marketing_Spend]]</f>
        <v>3.5125000000000002</v>
      </c>
      <c r="P11">
        <f xml:space="preserve"> Table13[[#This Row],[Online_Sales]] /1000</f>
        <v>0.56200000000000006</v>
      </c>
    </row>
    <row r="12" spans="1:16" x14ac:dyDescent="0.25">
      <c r="A12">
        <v>2023</v>
      </c>
      <c r="B12" t="s">
        <v>36</v>
      </c>
      <c r="C12" t="s">
        <v>13</v>
      </c>
      <c r="D12" t="s">
        <v>14</v>
      </c>
      <c r="E12">
        <v>1180</v>
      </c>
      <c r="F12">
        <v>601</v>
      </c>
      <c r="G12">
        <v>51</v>
      </c>
      <c r="H12">
        <v>7.8</v>
      </c>
      <c r="I12" t="s">
        <v>15</v>
      </c>
      <c r="J12" t="s">
        <v>16</v>
      </c>
      <c r="K12">
        <v>115</v>
      </c>
      <c r="L12">
        <v>2.2000000000000002</v>
      </c>
      <c r="M12">
        <f xml:space="preserve"> Table13[[#This Row],[Online_Sales]] - (Table13[[#This Row],[Marketing_Spend]] + (Table13[[#This Row],[Online_Sales]]*Table13[[#This Row],[Return_Rate]]/100))</f>
        <v>472.77800000000002</v>
      </c>
      <c r="N12" t="str">
        <f xml:space="preserve"> IF(Table13[[#This Row],[YoY_Growth]] &gt; 10,"High", IF(Table13[[#This Row],[YoY_Growth]] &gt; 5,"Medium", "Low"))</f>
        <v>Medium</v>
      </c>
      <c r="O12">
        <f xml:space="preserve"> Table13[[#This Row],[Online_Sales]] / Table13[[#This Row],[Marketing_Spend]]</f>
        <v>5.2260869565217387</v>
      </c>
      <c r="P12">
        <f xml:space="preserve"> Table13[[#This Row],[Online_Sales]] /1000</f>
        <v>0.60099999999999998</v>
      </c>
    </row>
    <row r="13" spans="1:16" x14ac:dyDescent="0.25">
      <c r="A13">
        <v>2023</v>
      </c>
      <c r="B13" t="s">
        <v>36</v>
      </c>
      <c r="C13" t="s">
        <v>13</v>
      </c>
      <c r="D13" t="s">
        <v>17</v>
      </c>
      <c r="E13">
        <v>920</v>
      </c>
      <c r="F13">
        <v>496</v>
      </c>
      <c r="G13">
        <v>54</v>
      </c>
      <c r="H13">
        <v>6.5</v>
      </c>
      <c r="I13" t="s">
        <v>18</v>
      </c>
      <c r="J13" t="s">
        <v>19</v>
      </c>
      <c r="K13">
        <v>90</v>
      </c>
      <c r="L13">
        <v>1.9</v>
      </c>
      <c r="M13">
        <f xml:space="preserve"> Table13[[#This Row],[Online_Sales]] - (Table13[[#This Row],[Marketing_Spend]] + (Table13[[#This Row],[Online_Sales]]*Table13[[#This Row],[Return_Rate]]/100))</f>
        <v>396.57600000000002</v>
      </c>
      <c r="N13" t="str">
        <f xml:space="preserve"> IF(Table13[[#This Row],[YoY_Growth]] &gt; 10,"High", IF(Table13[[#This Row],[YoY_Growth]] &gt; 5,"Medium", "Low"))</f>
        <v>Medium</v>
      </c>
      <c r="O13">
        <f xml:space="preserve"> Table13[[#This Row],[Online_Sales]] / Table13[[#This Row],[Marketing_Spend]]</f>
        <v>5.5111111111111111</v>
      </c>
      <c r="P13">
        <f xml:space="preserve"> Table13[[#This Row],[Online_Sales]] /1000</f>
        <v>0.496</v>
      </c>
    </row>
    <row r="14" spans="1:16" x14ac:dyDescent="0.25">
      <c r="A14">
        <v>2023</v>
      </c>
      <c r="B14" t="s">
        <v>36</v>
      </c>
      <c r="C14" t="s">
        <v>13</v>
      </c>
      <c r="D14" t="s">
        <v>20</v>
      </c>
      <c r="E14">
        <v>780</v>
      </c>
      <c r="F14">
        <v>382</v>
      </c>
      <c r="G14">
        <v>49</v>
      </c>
      <c r="H14">
        <v>5</v>
      </c>
      <c r="I14" t="s">
        <v>21</v>
      </c>
      <c r="J14" t="s">
        <v>22</v>
      </c>
      <c r="K14">
        <v>75</v>
      </c>
      <c r="L14">
        <v>2.6</v>
      </c>
      <c r="M14">
        <f xml:space="preserve"> Table13[[#This Row],[Online_Sales]] - (Table13[[#This Row],[Marketing_Spend]] + (Table13[[#This Row],[Online_Sales]]*Table13[[#This Row],[Return_Rate]]/100))</f>
        <v>297.06799999999998</v>
      </c>
      <c r="N14" t="str">
        <f xml:space="preserve"> IF(Table13[[#This Row],[YoY_Growth]] &gt; 10,"High", IF(Table13[[#This Row],[YoY_Growth]] &gt; 5,"Medium", "Low"))</f>
        <v>Low</v>
      </c>
      <c r="O14">
        <f xml:space="preserve"> Table13[[#This Row],[Online_Sales]] / Table13[[#This Row],[Marketing_Spend]]</f>
        <v>5.0933333333333337</v>
      </c>
      <c r="P14">
        <f xml:space="preserve"> Table13[[#This Row],[Online_Sales]] /1000</f>
        <v>0.38200000000000001</v>
      </c>
    </row>
    <row r="15" spans="1:16" x14ac:dyDescent="0.25">
      <c r="A15">
        <v>2023</v>
      </c>
      <c r="B15" t="s">
        <v>36</v>
      </c>
      <c r="C15" t="s">
        <v>23</v>
      </c>
      <c r="D15" t="s">
        <v>24</v>
      </c>
      <c r="E15">
        <v>2050</v>
      </c>
      <c r="F15">
        <v>800</v>
      </c>
      <c r="G15">
        <v>39</v>
      </c>
      <c r="H15">
        <v>11.2</v>
      </c>
      <c r="I15" t="s">
        <v>15</v>
      </c>
      <c r="J15" t="s">
        <v>25</v>
      </c>
      <c r="K15">
        <v>190</v>
      </c>
      <c r="L15">
        <v>7</v>
      </c>
      <c r="M15">
        <f xml:space="preserve"> Table13[[#This Row],[Online_Sales]] - (Table13[[#This Row],[Marketing_Spend]] + (Table13[[#This Row],[Online_Sales]]*Table13[[#This Row],[Return_Rate]]/100))</f>
        <v>554</v>
      </c>
      <c r="N15" t="str">
        <f xml:space="preserve"> IF(Table13[[#This Row],[YoY_Growth]] &gt; 10,"High", IF(Table13[[#This Row],[YoY_Growth]] &gt; 5,"Medium", "Low"))</f>
        <v>High</v>
      </c>
      <c r="O15">
        <f xml:space="preserve"> Table13[[#This Row],[Online_Sales]] / Table13[[#This Row],[Marketing_Spend]]</f>
        <v>4.2105263157894735</v>
      </c>
      <c r="P15">
        <f xml:space="preserve"> Table13[[#This Row],[Online_Sales]] /1000</f>
        <v>0.8</v>
      </c>
    </row>
    <row r="16" spans="1:16" x14ac:dyDescent="0.25">
      <c r="A16">
        <v>2023</v>
      </c>
      <c r="B16" t="s">
        <v>36</v>
      </c>
      <c r="C16" t="s">
        <v>23</v>
      </c>
      <c r="D16" t="s">
        <v>26</v>
      </c>
      <c r="E16">
        <v>1750</v>
      </c>
      <c r="F16">
        <v>612</v>
      </c>
      <c r="G16">
        <v>35</v>
      </c>
      <c r="H16">
        <v>8.9</v>
      </c>
      <c r="I16" t="s">
        <v>15</v>
      </c>
      <c r="J16" t="s">
        <v>27</v>
      </c>
      <c r="K16">
        <v>160</v>
      </c>
      <c r="L16">
        <v>5.4</v>
      </c>
      <c r="M16">
        <f xml:space="preserve"> Table13[[#This Row],[Online_Sales]] - (Table13[[#This Row],[Marketing_Spend]] + (Table13[[#This Row],[Online_Sales]]*Table13[[#This Row],[Return_Rate]]/100))</f>
        <v>418.952</v>
      </c>
      <c r="N16" t="str">
        <f xml:space="preserve"> IF(Table13[[#This Row],[YoY_Growth]] &gt; 10,"High", IF(Table13[[#This Row],[YoY_Growth]] &gt; 5,"Medium", "Low"))</f>
        <v>Medium</v>
      </c>
      <c r="O16">
        <f xml:space="preserve"> Table13[[#This Row],[Online_Sales]] / Table13[[#This Row],[Marketing_Spend]]</f>
        <v>3.8250000000000002</v>
      </c>
      <c r="P16">
        <f xml:space="preserve"> Table13[[#This Row],[Online_Sales]] /1000</f>
        <v>0.61199999999999999</v>
      </c>
    </row>
    <row r="17" spans="1:16" x14ac:dyDescent="0.25">
      <c r="A17">
        <v>2023</v>
      </c>
      <c r="B17" t="s">
        <v>37</v>
      </c>
      <c r="C17" t="s">
        <v>13</v>
      </c>
      <c r="D17" t="s">
        <v>14</v>
      </c>
      <c r="E17">
        <v>1120</v>
      </c>
      <c r="F17">
        <v>571</v>
      </c>
      <c r="G17">
        <v>51</v>
      </c>
      <c r="H17">
        <v>7.2</v>
      </c>
      <c r="I17" t="s">
        <v>15</v>
      </c>
      <c r="J17" t="s">
        <v>16</v>
      </c>
      <c r="K17">
        <v>110</v>
      </c>
      <c r="L17">
        <v>2.2999999999999998</v>
      </c>
      <c r="M17">
        <f xml:space="preserve"> Table13[[#This Row],[Online_Sales]] - (Table13[[#This Row],[Marketing_Spend]] + (Table13[[#This Row],[Online_Sales]]*Table13[[#This Row],[Return_Rate]]/100))</f>
        <v>447.86700000000002</v>
      </c>
      <c r="N17" t="str">
        <f xml:space="preserve"> IF(Table13[[#This Row],[YoY_Growth]] &gt; 10,"High", IF(Table13[[#This Row],[YoY_Growth]] &gt; 5,"Medium", "Low"))</f>
        <v>Medium</v>
      </c>
      <c r="O17">
        <f xml:space="preserve"> Table13[[#This Row],[Online_Sales]] / Table13[[#This Row],[Marketing_Spend]]</f>
        <v>5.1909090909090905</v>
      </c>
      <c r="P17">
        <f xml:space="preserve"> Table13[[#This Row],[Online_Sales]] /1000</f>
        <v>0.57099999999999995</v>
      </c>
    </row>
    <row r="18" spans="1:16" x14ac:dyDescent="0.25">
      <c r="A18">
        <v>2023</v>
      </c>
      <c r="B18" t="s">
        <v>37</v>
      </c>
      <c r="C18" t="s">
        <v>13</v>
      </c>
      <c r="D18" t="s">
        <v>17</v>
      </c>
      <c r="E18">
        <v>880</v>
      </c>
      <c r="F18">
        <v>475</v>
      </c>
      <c r="G18">
        <v>54</v>
      </c>
      <c r="H18">
        <v>6</v>
      </c>
      <c r="I18" t="s">
        <v>18</v>
      </c>
      <c r="J18" t="s">
        <v>19</v>
      </c>
      <c r="K18">
        <v>85</v>
      </c>
      <c r="L18">
        <v>2</v>
      </c>
      <c r="M18">
        <f xml:space="preserve"> Table13[[#This Row],[Online_Sales]] - (Table13[[#This Row],[Marketing_Spend]] + (Table13[[#This Row],[Online_Sales]]*Table13[[#This Row],[Return_Rate]]/100))</f>
        <v>380.5</v>
      </c>
      <c r="N18" t="str">
        <f xml:space="preserve"> IF(Table13[[#This Row],[YoY_Growth]] &gt; 10,"High", IF(Table13[[#This Row],[YoY_Growth]] &gt; 5,"Medium", "Low"))</f>
        <v>Medium</v>
      </c>
      <c r="O18">
        <f xml:space="preserve"> Table13[[#This Row],[Online_Sales]] / Table13[[#This Row],[Marketing_Spend]]</f>
        <v>5.5882352941176467</v>
      </c>
      <c r="P18">
        <f xml:space="preserve"> Table13[[#This Row],[Online_Sales]] /1000</f>
        <v>0.47499999999999998</v>
      </c>
    </row>
    <row r="19" spans="1:16" x14ac:dyDescent="0.25">
      <c r="A19">
        <v>2023</v>
      </c>
      <c r="B19" t="s">
        <v>37</v>
      </c>
      <c r="C19" t="s">
        <v>23</v>
      </c>
      <c r="D19" t="s">
        <v>24</v>
      </c>
      <c r="E19">
        <v>1980</v>
      </c>
      <c r="F19">
        <v>752</v>
      </c>
      <c r="G19">
        <v>38</v>
      </c>
      <c r="H19">
        <v>10.5</v>
      </c>
      <c r="I19" t="s">
        <v>15</v>
      </c>
      <c r="J19" t="s">
        <v>25</v>
      </c>
      <c r="K19">
        <v>185</v>
      </c>
      <c r="L19">
        <v>7.2</v>
      </c>
      <c r="M19">
        <f xml:space="preserve"> Table13[[#This Row],[Online_Sales]] - (Table13[[#This Row],[Marketing_Spend]] + (Table13[[#This Row],[Online_Sales]]*Table13[[#This Row],[Return_Rate]]/100))</f>
        <v>512.85599999999999</v>
      </c>
      <c r="N19" t="str">
        <f xml:space="preserve"> IF(Table13[[#This Row],[YoY_Growth]] &gt; 10,"High", IF(Table13[[#This Row],[YoY_Growth]] &gt; 5,"Medium", "Low"))</f>
        <v>High</v>
      </c>
      <c r="O19">
        <f xml:space="preserve"> Table13[[#This Row],[Online_Sales]] / Table13[[#This Row],[Marketing_Spend]]</f>
        <v>4.0648648648648651</v>
      </c>
      <c r="P19">
        <f xml:space="preserve"> Table13[[#This Row],[Online_Sales]] /1000</f>
        <v>0.752</v>
      </c>
    </row>
    <row r="20" spans="1:16" x14ac:dyDescent="0.25">
      <c r="A20">
        <v>2023</v>
      </c>
      <c r="B20" t="s">
        <v>38</v>
      </c>
      <c r="C20" t="s">
        <v>13</v>
      </c>
      <c r="D20" t="s">
        <v>14</v>
      </c>
      <c r="E20">
        <v>1080</v>
      </c>
      <c r="F20">
        <v>551</v>
      </c>
      <c r="G20">
        <v>51</v>
      </c>
      <c r="H20">
        <v>6.8</v>
      </c>
      <c r="I20" t="s">
        <v>15</v>
      </c>
      <c r="J20" t="s">
        <v>16</v>
      </c>
      <c r="K20">
        <v>105</v>
      </c>
      <c r="L20">
        <v>2.4</v>
      </c>
      <c r="M20">
        <f xml:space="preserve"> Table13[[#This Row],[Online_Sales]] - (Table13[[#This Row],[Marketing_Spend]] + (Table13[[#This Row],[Online_Sales]]*Table13[[#This Row],[Return_Rate]]/100))</f>
        <v>432.77600000000001</v>
      </c>
      <c r="N20" t="str">
        <f xml:space="preserve"> IF(Table13[[#This Row],[YoY_Growth]] &gt; 10,"High", IF(Table13[[#This Row],[YoY_Growth]] &gt; 5,"Medium", "Low"))</f>
        <v>Medium</v>
      </c>
      <c r="O20">
        <f xml:space="preserve"> Table13[[#This Row],[Online_Sales]] / Table13[[#This Row],[Marketing_Spend]]</f>
        <v>5.2476190476190476</v>
      </c>
      <c r="P20">
        <f xml:space="preserve"> Table13[[#This Row],[Online_Sales]] /1000</f>
        <v>0.55100000000000005</v>
      </c>
    </row>
    <row r="21" spans="1:16" x14ac:dyDescent="0.25">
      <c r="A21">
        <v>2023</v>
      </c>
      <c r="B21" t="s">
        <v>38</v>
      </c>
      <c r="C21" t="s">
        <v>13</v>
      </c>
      <c r="D21" t="s">
        <v>17</v>
      </c>
      <c r="E21">
        <v>850</v>
      </c>
      <c r="F21">
        <v>459</v>
      </c>
      <c r="G21">
        <v>54</v>
      </c>
      <c r="H21">
        <v>5.8</v>
      </c>
      <c r="I21" t="s">
        <v>18</v>
      </c>
      <c r="J21" t="s">
        <v>19</v>
      </c>
      <c r="K21">
        <v>80</v>
      </c>
      <c r="L21">
        <v>2.1</v>
      </c>
      <c r="M21">
        <f xml:space="preserve"> Table13[[#This Row],[Online_Sales]] - (Table13[[#This Row],[Marketing_Spend]] + (Table13[[#This Row],[Online_Sales]]*Table13[[#This Row],[Return_Rate]]/100))</f>
        <v>369.36099999999999</v>
      </c>
      <c r="N21" t="str">
        <f xml:space="preserve"> IF(Table13[[#This Row],[YoY_Growth]] &gt; 10,"High", IF(Table13[[#This Row],[YoY_Growth]] &gt; 5,"Medium", "Low"))</f>
        <v>Medium</v>
      </c>
      <c r="O21">
        <f xml:space="preserve"> Table13[[#This Row],[Online_Sales]] / Table13[[#This Row],[Marketing_Spend]]</f>
        <v>5.7374999999999998</v>
      </c>
      <c r="P21">
        <f xml:space="preserve"> Table13[[#This Row],[Online_Sales]] /1000</f>
        <v>0.45900000000000002</v>
      </c>
    </row>
    <row r="22" spans="1:16" x14ac:dyDescent="0.25">
      <c r="A22">
        <v>2022</v>
      </c>
      <c r="B22" t="s">
        <v>12</v>
      </c>
      <c r="C22" t="s">
        <v>13</v>
      </c>
      <c r="D22" t="s">
        <v>14</v>
      </c>
      <c r="E22">
        <v>1150</v>
      </c>
      <c r="F22">
        <v>563</v>
      </c>
      <c r="G22">
        <v>49</v>
      </c>
      <c r="H22">
        <v>6.2</v>
      </c>
      <c r="I22" t="s">
        <v>15</v>
      </c>
      <c r="J22" t="s">
        <v>16</v>
      </c>
      <c r="K22">
        <v>110</v>
      </c>
      <c r="L22">
        <v>2.5</v>
      </c>
      <c r="M22">
        <f xml:space="preserve"> Table13[[#This Row],[Online_Sales]] - (Table13[[#This Row],[Marketing_Spend]] + (Table13[[#This Row],[Online_Sales]]*Table13[[#This Row],[Return_Rate]]/100))</f>
        <v>438.92500000000001</v>
      </c>
      <c r="N22" t="str">
        <f xml:space="preserve"> IF(Table13[[#This Row],[YoY_Growth]] &gt; 10,"High", IF(Table13[[#This Row],[YoY_Growth]] &gt; 5,"Medium", "Low"))</f>
        <v>Medium</v>
      </c>
      <c r="O22">
        <f xml:space="preserve"> Table13[[#This Row],[Online_Sales]] / Table13[[#This Row],[Marketing_Spend]]</f>
        <v>5.1181818181818182</v>
      </c>
      <c r="P22">
        <f xml:space="preserve"> Table13[[#This Row],[Online_Sales]] /1000</f>
        <v>0.56299999999999994</v>
      </c>
    </row>
    <row r="23" spans="1:16" x14ac:dyDescent="0.25">
      <c r="A23">
        <v>2022</v>
      </c>
      <c r="B23" t="s">
        <v>12</v>
      </c>
      <c r="C23" t="s">
        <v>13</v>
      </c>
      <c r="D23" t="s">
        <v>17</v>
      </c>
      <c r="E23">
        <v>910</v>
      </c>
      <c r="F23">
        <v>473</v>
      </c>
      <c r="G23">
        <v>52</v>
      </c>
      <c r="H23">
        <v>5.2</v>
      </c>
      <c r="I23" t="s">
        <v>18</v>
      </c>
      <c r="J23" t="s">
        <v>19</v>
      </c>
      <c r="K23">
        <v>85</v>
      </c>
      <c r="L23">
        <v>2.2000000000000002</v>
      </c>
      <c r="M23">
        <f xml:space="preserve"> Table13[[#This Row],[Online_Sales]] - (Table13[[#This Row],[Marketing_Spend]] + (Table13[[#This Row],[Online_Sales]]*Table13[[#This Row],[Return_Rate]]/100))</f>
        <v>377.59399999999999</v>
      </c>
      <c r="N23" t="str">
        <f xml:space="preserve"> IF(Table13[[#This Row],[YoY_Growth]] &gt; 10,"High", IF(Table13[[#This Row],[YoY_Growth]] &gt; 5,"Medium", "Low"))</f>
        <v>Medium</v>
      </c>
      <c r="O23">
        <f xml:space="preserve"> Table13[[#This Row],[Online_Sales]] / Table13[[#This Row],[Marketing_Spend]]</f>
        <v>5.5647058823529409</v>
      </c>
      <c r="P23">
        <f xml:space="preserve"> Table13[[#This Row],[Online_Sales]] /1000</f>
        <v>0.47299999999999998</v>
      </c>
    </row>
    <row r="24" spans="1:16" x14ac:dyDescent="0.25">
      <c r="A24">
        <v>2022</v>
      </c>
      <c r="B24" t="s">
        <v>12</v>
      </c>
      <c r="C24" t="s">
        <v>23</v>
      </c>
      <c r="D24" t="s">
        <v>24</v>
      </c>
      <c r="E24">
        <v>1910</v>
      </c>
      <c r="F24">
        <v>688</v>
      </c>
      <c r="G24">
        <v>36</v>
      </c>
      <c r="H24">
        <v>8.6999999999999993</v>
      </c>
      <c r="I24" t="s">
        <v>15</v>
      </c>
      <c r="J24" t="s">
        <v>25</v>
      </c>
      <c r="K24">
        <v>170</v>
      </c>
      <c r="L24">
        <v>7.8</v>
      </c>
      <c r="M24">
        <f xml:space="preserve"> Table13[[#This Row],[Online_Sales]] - (Table13[[#This Row],[Marketing_Spend]] + (Table13[[#This Row],[Online_Sales]]*Table13[[#This Row],[Return_Rate]]/100))</f>
        <v>464.33600000000001</v>
      </c>
      <c r="N24" t="str">
        <f xml:space="preserve"> IF(Table13[[#This Row],[YoY_Growth]] &gt; 10,"High", IF(Table13[[#This Row],[YoY_Growth]] &gt; 5,"Medium", "Low"))</f>
        <v>Medium</v>
      </c>
      <c r="O24">
        <f xml:space="preserve"> Table13[[#This Row],[Online_Sales]] / Table13[[#This Row],[Marketing_Spend]]</f>
        <v>4.0470588235294116</v>
      </c>
      <c r="P24">
        <f xml:space="preserve"> Table13[[#This Row],[Online_Sales]] /1000</f>
        <v>0.68799999999999994</v>
      </c>
    </row>
    <row r="25" spans="1:16" x14ac:dyDescent="0.25">
      <c r="A25">
        <v>2022</v>
      </c>
      <c r="B25" t="s">
        <v>12</v>
      </c>
      <c r="C25" t="s">
        <v>23</v>
      </c>
      <c r="D25" t="s">
        <v>26</v>
      </c>
      <c r="E25">
        <v>1680</v>
      </c>
      <c r="F25">
        <v>571</v>
      </c>
      <c r="G25">
        <v>34</v>
      </c>
      <c r="H25">
        <v>7.2</v>
      </c>
      <c r="I25" t="s">
        <v>15</v>
      </c>
      <c r="J25" t="s">
        <v>27</v>
      </c>
      <c r="K25">
        <v>150</v>
      </c>
      <c r="L25">
        <v>6.1</v>
      </c>
      <c r="M25">
        <f xml:space="preserve"> Table13[[#This Row],[Online_Sales]] - (Table13[[#This Row],[Marketing_Spend]] + (Table13[[#This Row],[Online_Sales]]*Table13[[#This Row],[Return_Rate]]/100))</f>
        <v>386.16899999999998</v>
      </c>
      <c r="N25" t="str">
        <f xml:space="preserve"> IF(Table13[[#This Row],[YoY_Growth]] &gt; 10,"High", IF(Table13[[#This Row],[YoY_Growth]] &gt; 5,"Medium", "Low"))</f>
        <v>Medium</v>
      </c>
      <c r="O25">
        <f xml:space="preserve"> Table13[[#This Row],[Online_Sales]] / Table13[[#This Row],[Marketing_Spend]]</f>
        <v>3.8066666666666666</v>
      </c>
      <c r="P25">
        <f xml:space="preserve"> Table13[[#This Row],[Online_Sales]] /1000</f>
        <v>0.57099999999999995</v>
      </c>
    </row>
    <row r="26" spans="1:16" x14ac:dyDescent="0.25">
      <c r="A26">
        <v>2022</v>
      </c>
      <c r="B26" t="s">
        <v>12</v>
      </c>
      <c r="C26" t="s">
        <v>29</v>
      </c>
      <c r="D26" t="s">
        <v>30</v>
      </c>
      <c r="E26">
        <v>3690</v>
      </c>
      <c r="F26">
        <v>332</v>
      </c>
      <c r="G26">
        <v>9</v>
      </c>
      <c r="H26">
        <v>3.5</v>
      </c>
      <c r="I26" t="s">
        <v>31</v>
      </c>
      <c r="J26" t="s">
        <v>22</v>
      </c>
      <c r="K26">
        <v>140</v>
      </c>
      <c r="L26">
        <v>0.9</v>
      </c>
      <c r="M26">
        <f xml:space="preserve"> Table13[[#This Row],[Online_Sales]] - (Table13[[#This Row],[Marketing_Spend]] + (Table13[[#This Row],[Online_Sales]]*Table13[[#This Row],[Return_Rate]]/100))</f>
        <v>189.012</v>
      </c>
      <c r="N26" t="str">
        <f xml:space="preserve"> IF(Table13[[#This Row],[YoY_Growth]] &gt; 10,"High", IF(Table13[[#This Row],[YoY_Growth]] &gt; 5,"Medium", "Low"))</f>
        <v>Low</v>
      </c>
      <c r="O26">
        <f xml:space="preserve"> Table13[[#This Row],[Online_Sales]] / Table13[[#This Row],[Marketing_Spend]]</f>
        <v>2.3714285714285714</v>
      </c>
      <c r="P26">
        <f xml:space="preserve"> Table13[[#This Row],[Online_Sales]] /1000</f>
        <v>0.33200000000000002</v>
      </c>
    </row>
    <row r="27" spans="1:16" x14ac:dyDescent="0.25">
      <c r="A27">
        <v>2022</v>
      </c>
      <c r="B27" t="s">
        <v>12</v>
      </c>
      <c r="C27" t="s">
        <v>33</v>
      </c>
      <c r="D27" t="s">
        <v>34</v>
      </c>
      <c r="E27">
        <v>1420</v>
      </c>
      <c r="F27">
        <v>525</v>
      </c>
      <c r="G27">
        <v>37</v>
      </c>
      <c r="H27">
        <v>12.8</v>
      </c>
      <c r="I27" t="s">
        <v>15</v>
      </c>
      <c r="J27" t="s">
        <v>25</v>
      </c>
      <c r="K27">
        <v>160</v>
      </c>
      <c r="L27">
        <v>3.8</v>
      </c>
      <c r="M27">
        <f xml:space="preserve"> Table13[[#This Row],[Online_Sales]] - (Table13[[#This Row],[Marketing_Spend]] + (Table13[[#This Row],[Online_Sales]]*Table13[[#This Row],[Return_Rate]]/100))</f>
        <v>345.05</v>
      </c>
      <c r="N27" t="str">
        <f xml:space="preserve"> IF(Table13[[#This Row],[YoY_Growth]] &gt; 10,"High", IF(Table13[[#This Row],[YoY_Growth]] &gt; 5,"Medium", "Low"))</f>
        <v>High</v>
      </c>
      <c r="O27">
        <f xml:space="preserve"> Table13[[#This Row],[Online_Sales]] / Table13[[#This Row],[Marketing_Spend]]</f>
        <v>3.28125</v>
      </c>
      <c r="P27">
        <f xml:space="preserve"> Table13[[#This Row],[Online_Sales]] /1000</f>
        <v>0.52500000000000002</v>
      </c>
    </row>
    <row r="28" spans="1:16" x14ac:dyDescent="0.25">
      <c r="A28">
        <v>2022</v>
      </c>
      <c r="B28" t="s">
        <v>36</v>
      </c>
      <c r="C28" t="s">
        <v>13</v>
      </c>
      <c r="D28" t="s">
        <v>14</v>
      </c>
      <c r="E28">
        <v>1090</v>
      </c>
      <c r="F28">
        <v>525</v>
      </c>
      <c r="G28">
        <v>48</v>
      </c>
      <c r="H28">
        <v>5.8</v>
      </c>
      <c r="I28" t="s">
        <v>15</v>
      </c>
      <c r="J28" t="s">
        <v>16</v>
      </c>
      <c r="K28">
        <v>105</v>
      </c>
      <c r="L28">
        <v>2.6</v>
      </c>
      <c r="M28">
        <f xml:space="preserve"> Table13[[#This Row],[Online_Sales]] - (Table13[[#This Row],[Marketing_Spend]] + (Table13[[#This Row],[Online_Sales]]*Table13[[#This Row],[Return_Rate]]/100))</f>
        <v>406.35</v>
      </c>
      <c r="N28" t="str">
        <f xml:space="preserve"> IF(Table13[[#This Row],[YoY_Growth]] &gt; 10,"High", IF(Table13[[#This Row],[YoY_Growth]] &gt; 5,"Medium", "Low"))</f>
        <v>Medium</v>
      </c>
      <c r="O28">
        <f xml:space="preserve"> Table13[[#This Row],[Online_Sales]] / Table13[[#This Row],[Marketing_Spend]]</f>
        <v>5</v>
      </c>
      <c r="P28">
        <f xml:space="preserve"> Table13[[#This Row],[Online_Sales]] /1000</f>
        <v>0.52500000000000002</v>
      </c>
    </row>
    <row r="29" spans="1:16" x14ac:dyDescent="0.25">
      <c r="A29">
        <v>2022</v>
      </c>
      <c r="B29" t="s">
        <v>36</v>
      </c>
      <c r="C29" t="s">
        <v>23</v>
      </c>
      <c r="D29" t="s">
        <v>24</v>
      </c>
      <c r="E29">
        <v>1840</v>
      </c>
      <c r="F29">
        <v>643</v>
      </c>
      <c r="G29">
        <v>35</v>
      </c>
      <c r="H29">
        <v>7.9</v>
      </c>
      <c r="I29" t="s">
        <v>15</v>
      </c>
      <c r="J29" t="s">
        <v>25</v>
      </c>
      <c r="K29">
        <v>165</v>
      </c>
      <c r="L29">
        <v>8</v>
      </c>
      <c r="M29">
        <f xml:space="preserve"> Table13[[#This Row],[Online_Sales]] - (Table13[[#This Row],[Marketing_Spend]] + (Table13[[#This Row],[Online_Sales]]*Table13[[#This Row],[Return_Rate]]/100))</f>
        <v>426.56</v>
      </c>
      <c r="N29" t="str">
        <f xml:space="preserve"> IF(Table13[[#This Row],[YoY_Growth]] &gt; 10,"High", IF(Table13[[#This Row],[YoY_Growth]] &gt; 5,"Medium", "Low"))</f>
        <v>Medium</v>
      </c>
      <c r="O29">
        <f xml:space="preserve"> Table13[[#This Row],[Online_Sales]] / Table13[[#This Row],[Marketing_Spend]]</f>
        <v>3.896969696969697</v>
      </c>
      <c r="P29">
        <f xml:space="preserve"> Table13[[#This Row],[Online_Sales]] /1000</f>
        <v>0.64300000000000002</v>
      </c>
    </row>
    <row r="30" spans="1:16" x14ac:dyDescent="0.25">
      <c r="A30">
        <v>2022</v>
      </c>
      <c r="B30" t="s">
        <v>37</v>
      </c>
      <c r="C30" t="s">
        <v>13</v>
      </c>
      <c r="D30" t="s">
        <v>14</v>
      </c>
      <c r="E30">
        <v>1040</v>
      </c>
      <c r="F30">
        <v>499</v>
      </c>
      <c r="G30">
        <v>48</v>
      </c>
      <c r="H30">
        <v>5.3</v>
      </c>
      <c r="I30" t="s">
        <v>15</v>
      </c>
      <c r="J30" t="s">
        <v>16</v>
      </c>
      <c r="K30">
        <v>100</v>
      </c>
      <c r="L30">
        <v>2.7</v>
      </c>
      <c r="M30">
        <f xml:space="preserve"> Table13[[#This Row],[Online_Sales]] - (Table13[[#This Row],[Marketing_Spend]] + (Table13[[#This Row],[Online_Sales]]*Table13[[#This Row],[Return_Rate]]/100))</f>
        <v>385.52699999999999</v>
      </c>
      <c r="N30" t="str">
        <f xml:space="preserve"> IF(Table13[[#This Row],[YoY_Growth]] &gt; 10,"High", IF(Table13[[#This Row],[YoY_Growth]] &gt; 5,"Medium", "Low"))</f>
        <v>Medium</v>
      </c>
      <c r="O30">
        <f xml:space="preserve"> Table13[[#This Row],[Online_Sales]] / Table13[[#This Row],[Marketing_Spend]]</f>
        <v>4.99</v>
      </c>
      <c r="P30">
        <f xml:space="preserve"> Table13[[#This Row],[Online_Sales]] /1000</f>
        <v>0.499</v>
      </c>
    </row>
    <row r="31" spans="1:16" x14ac:dyDescent="0.25">
      <c r="A31">
        <v>2022</v>
      </c>
      <c r="B31" t="s">
        <v>37</v>
      </c>
      <c r="C31" t="s">
        <v>23</v>
      </c>
      <c r="D31" t="s">
        <v>24</v>
      </c>
      <c r="E31">
        <v>1790</v>
      </c>
      <c r="F31">
        <v>608</v>
      </c>
      <c r="G31">
        <v>34</v>
      </c>
      <c r="H31">
        <v>7.2</v>
      </c>
      <c r="I31" t="s">
        <v>15</v>
      </c>
      <c r="J31" t="s">
        <v>25</v>
      </c>
      <c r="K31">
        <v>160</v>
      </c>
      <c r="L31">
        <v>8.1999999999999993</v>
      </c>
      <c r="M31">
        <f xml:space="preserve"> Table13[[#This Row],[Online_Sales]] - (Table13[[#This Row],[Marketing_Spend]] + (Table13[[#This Row],[Online_Sales]]*Table13[[#This Row],[Return_Rate]]/100))</f>
        <v>398.14400000000001</v>
      </c>
      <c r="N31" t="str">
        <f xml:space="preserve"> IF(Table13[[#This Row],[YoY_Growth]] &gt; 10,"High", IF(Table13[[#This Row],[YoY_Growth]] &gt; 5,"Medium", "Low"))</f>
        <v>Medium</v>
      </c>
      <c r="O31">
        <f xml:space="preserve"> Table13[[#This Row],[Online_Sales]] / Table13[[#This Row],[Marketing_Spend]]</f>
        <v>3.8</v>
      </c>
      <c r="P31">
        <f xml:space="preserve"> Table13[[#This Row],[Online_Sales]] /1000</f>
        <v>0.60799999999999998</v>
      </c>
    </row>
    <row r="32" spans="1:16" x14ac:dyDescent="0.25">
      <c r="A32">
        <v>2022</v>
      </c>
      <c r="B32" t="s">
        <v>38</v>
      </c>
      <c r="C32" t="s">
        <v>13</v>
      </c>
      <c r="D32" t="s">
        <v>14</v>
      </c>
      <c r="E32">
        <v>1010</v>
      </c>
      <c r="F32">
        <v>475</v>
      </c>
      <c r="G32">
        <v>47</v>
      </c>
      <c r="H32">
        <v>4.8</v>
      </c>
      <c r="I32" t="s">
        <v>15</v>
      </c>
      <c r="J32" t="s">
        <v>16</v>
      </c>
      <c r="K32">
        <v>95</v>
      </c>
      <c r="L32">
        <v>2.8</v>
      </c>
      <c r="M32">
        <f xml:space="preserve"> Table13[[#This Row],[Online_Sales]] - (Table13[[#This Row],[Marketing_Spend]] + (Table13[[#This Row],[Online_Sales]]*Table13[[#This Row],[Return_Rate]]/100))</f>
        <v>366.7</v>
      </c>
      <c r="N32" t="str">
        <f xml:space="preserve"> IF(Table13[[#This Row],[YoY_Growth]] &gt; 10,"High", IF(Table13[[#This Row],[YoY_Growth]] &gt; 5,"Medium", "Low"))</f>
        <v>Low</v>
      </c>
      <c r="O32">
        <f xml:space="preserve"> Table13[[#This Row],[Online_Sales]] / Table13[[#This Row],[Marketing_Spend]]</f>
        <v>5</v>
      </c>
      <c r="P32">
        <f xml:space="preserve"> Table13[[#This Row],[Online_Sales]] /1000</f>
        <v>0.47499999999999998</v>
      </c>
    </row>
    <row r="33" spans="1:16" x14ac:dyDescent="0.25">
      <c r="A33">
        <v>2021</v>
      </c>
      <c r="B33" t="s">
        <v>12</v>
      </c>
      <c r="C33" t="s">
        <v>13</v>
      </c>
      <c r="D33" t="s">
        <v>14</v>
      </c>
      <c r="E33">
        <v>1080</v>
      </c>
      <c r="F33">
        <v>486</v>
      </c>
      <c r="G33">
        <v>45</v>
      </c>
      <c r="H33">
        <v>3.2</v>
      </c>
      <c r="I33" t="s">
        <v>15</v>
      </c>
      <c r="J33" t="s">
        <v>16</v>
      </c>
      <c r="K33">
        <v>90</v>
      </c>
      <c r="L33">
        <v>3</v>
      </c>
      <c r="M33">
        <f xml:space="preserve"> Table13[[#This Row],[Online_Sales]] - (Table13[[#This Row],[Marketing_Spend]] + (Table13[[#This Row],[Online_Sales]]*Table13[[#This Row],[Return_Rate]]/100))</f>
        <v>381.42</v>
      </c>
      <c r="N33" t="str">
        <f xml:space="preserve"> IF(Table13[[#This Row],[YoY_Growth]] &gt; 10,"High", IF(Table13[[#This Row],[YoY_Growth]] &gt; 5,"Medium", "Low"))</f>
        <v>Low</v>
      </c>
      <c r="O33">
        <f xml:space="preserve"> Table13[[#This Row],[Online_Sales]] / Table13[[#This Row],[Marketing_Spend]]</f>
        <v>5.4</v>
      </c>
      <c r="P33">
        <f xml:space="preserve"> Table13[[#This Row],[Online_Sales]] /1000</f>
        <v>0.48599999999999999</v>
      </c>
    </row>
    <row r="34" spans="1:16" x14ac:dyDescent="0.25">
      <c r="A34">
        <v>2021</v>
      </c>
      <c r="B34" t="s">
        <v>12</v>
      </c>
      <c r="C34" t="s">
        <v>23</v>
      </c>
      <c r="D34" t="s">
        <v>24</v>
      </c>
      <c r="E34">
        <v>1750</v>
      </c>
      <c r="F34">
        <v>560</v>
      </c>
      <c r="G34">
        <v>32</v>
      </c>
      <c r="H34">
        <v>5.8</v>
      </c>
      <c r="I34" t="s">
        <v>15</v>
      </c>
      <c r="J34" t="s">
        <v>25</v>
      </c>
      <c r="K34">
        <v>150</v>
      </c>
      <c r="L34">
        <v>8.5</v>
      </c>
      <c r="M34">
        <f xml:space="preserve"> Table13[[#This Row],[Online_Sales]] - (Table13[[#This Row],[Marketing_Spend]] + (Table13[[#This Row],[Online_Sales]]*Table13[[#This Row],[Return_Rate]]/100))</f>
        <v>362.4</v>
      </c>
      <c r="N34" t="str">
        <f xml:space="preserve"> IF(Table13[[#This Row],[YoY_Growth]] &gt; 10,"High", IF(Table13[[#This Row],[YoY_Growth]] &gt; 5,"Medium", "Low"))</f>
        <v>Medium</v>
      </c>
      <c r="O34">
        <f xml:space="preserve"> Table13[[#This Row],[Online_Sales]] / Table13[[#This Row],[Marketing_Spend]]</f>
        <v>3.7333333333333334</v>
      </c>
      <c r="P34">
        <f xml:space="preserve"> Table13[[#This Row],[Online_Sales]] /1000</f>
        <v>0.56000000000000005</v>
      </c>
    </row>
    <row r="35" spans="1:16" x14ac:dyDescent="0.25">
      <c r="A35">
        <v>2021</v>
      </c>
      <c r="B35" t="s">
        <v>12</v>
      </c>
      <c r="C35" t="s">
        <v>29</v>
      </c>
      <c r="D35" t="s">
        <v>30</v>
      </c>
      <c r="E35">
        <v>3560</v>
      </c>
      <c r="F35">
        <v>285</v>
      </c>
      <c r="G35">
        <v>8</v>
      </c>
      <c r="H35">
        <v>2.8</v>
      </c>
      <c r="I35" t="s">
        <v>31</v>
      </c>
      <c r="J35" t="s">
        <v>22</v>
      </c>
      <c r="K35">
        <v>130</v>
      </c>
      <c r="L35">
        <v>1</v>
      </c>
      <c r="M35">
        <f xml:space="preserve"> Table13[[#This Row],[Online_Sales]] - (Table13[[#This Row],[Marketing_Spend]] + (Table13[[#This Row],[Online_Sales]]*Table13[[#This Row],[Return_Rate]]/100))</f>
        <v>152.15</v>
      </c>
      <c r="N35" t="str">
        <f xml:space="preserve"> IF(Table13[[#This Row],[YoY_Growth]] &gt; 10,"High", IF(Table13[[#This Row],[YoY_Growth]] &gt; 5,"Medium", "Low"))</f>
        <v>Low</v>
      </c>
      <c r="O35">
        <f xml:space="preserve"> Table13[[#This Row],[Online_Sales]] / Table13[[#This Row],[Marketing_Spend]]</f>
        <v>2.1923076923076925</v>
      </c>
      <c r="P35">
        <f xml:space="preserve"> Table13[[#This Row],[Online_Sales]] /1000</f>
        <v>0.28499999999999998</v>
      </c>
    </row>
    <row r="36" spans="1:16" x14ac:dyDescent="0.25">
      <c r="A36">
        <v>2020</v>
      </c>
      <c r="B36" t="s">
        <v>12</v>
      </c>
      <c r="C36" t="s">
        <v>13</v>
      </c>
      <c r="D36" t="s">
        <v>14</v>
      </c>
      <c r="E36">
        <v>1045</v>
      </c>
      <c r="F36">
        <v>418</v>
      </c>
      <c r="G36">
        <v>40</v>
      </c>
      <c r="H36">
        <v>-1.5</v>
      </c>
      <c r="I36" t="s">
        <v>15</v>
      </c>
      <c r="J36" t="s">
        <v>16</v>
      </c>
      <c r="K36">
        <v>85</v>
      </c>
      <c r="L36">
        <v>3.5</v>
      </c>
      <c r="M36">
        <f xml:space="preserve"> Table13[[#This Row],[Online_Sales]] - (Table13[[#This Row],[Marketing_Spend]] + (Table13[[#This Row],[Online_Sales]]*Table13[[#This Row],[Return_Rate]]/100))</f>
        <v>318.37</v>
      </c>
      <c r="N36" t="str">
        <f xml:space="preserve"> IF(Table13[[#This Row],[YoY_Growth]] &gt; 10,"High", IF(Table13[[#This Row],[YoY_Growth]] &gt; 5,"Medium", "Low"))</f>
        <v>Low</v>
      </c>
      <c r="O36">
        <f xml:space="preserve"> Table13[[#This Row],[Online_Sales]] / Table13[[#This Row],[Marketing_Spend]]</f>
        <v>4.9176470588235297</v>
      </c>
      <c r="P36">
        <f xml:space="preserve"> Table13[[#This Row],[Online_Sales]] /1000</f>
        <v>0.41799999999999998</v>
      </c>
    </row>
    <row r="37" spans="1:16" x14ac:dyDescent="0.25">
      <c r="A37">
        <v>2020</v>
      </c>
      <c r="B37" t="s">
        <v>12</v>
      </c>
      <c r="C37" t="s">
        <v>23</v>
      </c>
      <c r="D37" t="s">
        <v>24</v>
      </c>
      <c r="E37">
        <v>1650</v>
      </c>
      <c r="F37">
        <v>462</v>
      </c>
      <c r="G37">
        <v>28</v>
      </c>
      <c r="H37">
        <v>-4.2</v>
      </c>
      <c r="I37" t="s">
        <v>15</v>
      </c>
      <c r="J37" t="s">
        <v>25</v>
      </c>
      <c r="K37">
        <v>140</v>
      </c>
      <c r="L37">
        <v>9</v>
      </c>
      <c r="M37">
        <f xml:space="preserve"> Table13[[#This Row],[Online_Sales]] - (Table13[[#This Row],[Marketing_Spend]] + (Table13[[#This Row],[Online_Sales]]*Table13[[#This Row],[Return_Rate]]/100))</f>
        <v>280.42</v>
      </c>
      <c r="N37" t="str">
        <f xml:space="preserve"> IF(Table13[[#This Row],[YoY_Growth]] &gt; 10,"High", IF(Table13[[#This Row],[YoY_Growth]] &gt; 5,"Medium", "Low"))</f>
        <v>Low</v>
      </c>
      <c r="O37">
        <f xml:space="preserve"> Table13[[#This Row],[Online_Sales]] / Table13[[#This Row],[Marketing_Spend]]</f>
        <v>3.3</v>
      </c>
      <c r="P37">
        <f xml:space="preserve"> Table13[[#This Row],[Online_Sales]] /1000</f>
        <v>0.46200000000000002</v>
      </c>
    </row>
    <row r="38" spans="1:16" x14ac:dyDescent="0.25">
      <c r="A38">
        <v>2019</v>
      </c>
      <c r="B38" t="s">
        <v>12</v>
      </c>
      <c r="C38" t="s">
        <v>13</v>
      </c>
      <c r="D38" t="s">
        <v>14</v>
      </c>
      <c r="E38">
        <v>1060</v>
      </c>
      <c r="F38">
        <v>371</v>
      </c>
      <c r="G38">
        <v>35</v>
      </c>
      <c r="H38">
        <v>4.5</v>
      </c>
      <c r="I38" t="s">
        <v>15</v>
      </c>
      <c r="J38" t="s">
        <v>16</v>
      </c>
      <c r="K38">
        <v>80</v>
      </c>
      <c r="L38">
        <v>3.2</v>
      </c>
      <c r="M38">
        <f xml:space="preserve"> Table13[[#This Row],[Online_Sales]] - (Table13[[#This Row],[Marketing_Spend]] + (Table13[[#This Row],[Online_Sales]]*Table13[[#This Row],[Return_Rate]]/100))</f>
        <v>279.12799999999999</v>
      </c>
      <c r="N38" t="str">
        <f xml:space="preserve"> IF(Table13[[#This Row],[YoY_Growth]] &gt; 10,"High", IF(Table13[[#This Row],[YoY_Growth]] &gt; 5,"Medium", "Low"))</f>
        <v>Low</v>
      </c>
      <c r="O38">
        <f xml:space="preserve"> Table13[[#This Row],[Online_Sales]] / Table13[[#This Row],[Marketing_Spend]]</f>
        <v>4.6375000000000002</v>
      </c>
      <c r="P38">
        <f xml:space="preserve"> Table13[[#This Row],[Online_Sales]] /1000</f>
        <v>0.371</v>
      </c>
    </row>
    <row r="39" spans="1:16" x14ac:dyDescent="0.25">
      <c r="A39">
        <v>2019</v>
      </c>
      <c r="B39" t="s">
        <v>12</v>
      </c>
      <c r="C39" t="s">
        <v>23</v>
      </c>
      <c r="D39" t="s">
        <v>24</v>
      </c>
      <c r="E39">
        <v>1720</v>
      </c>
      <c r="F39">
        <v>447</v>
      </c>
      <c r="G39">
        <v>26</v>
      </c>
      <c r="H39">
        <v>3.8</v>
      </c>
      <c r="I39" t="s">
        <v>15</v>
      </c>
      <c r="J39" t="s">
        <v>25</v>
      </c>
      <c r="K39">
        <v>135</v>
      </c>
      <c r="L39">
        <v>8.8000000000000007</v>
      </c>
      <c r="M39">
        <f xml:space="preserve"> Table13[[#This Row],[Online_Sales]] - (Table13[[#This Row],[Marketing_Spend]] + (Table13[[#This Row],[Online_Sales]]*Table13[[#This Row],[Return_Rate]]/100))</f>
        <v>272.66399999999999</v>
      </c>
      <c r="N39" t="str">
        <f xml:space="preserve"> IF(Table13[[#This Row],[YoY_Growth]] &gt; 10,"High", IF(Table13[[#This Row],[YoY_Growth]] &gt; 5,"Medium", "Low"))</f>
        <v>Low</v>
      </c>
      <c r="O39">
        <f xml:space="preserve"> Table13[[#This Row],[Online_Sales]] / Table13[[#This Row],[Marketing_Spend]]</f>
        <v>3.3111111111111109</v>
      </c>
      <c r="P39">
        <f xml:space="preserve"> Table13[[#This Row],[Online_Sales]] /1000</f>
        <v>0.44700000000000001</v>
      </c>
    </row>
    <row r="40" spans="1:16" x14ac:dyDescent="0.25">
      <c r="A40">
        <v>2018</v>
      </c>
      <c r="B40" t="s">
        <v>12</v>
      </c>
      <c r="C40" t="s">
        <v>13</v>
      </c>
      <c r="D40" t="s">
        <v>14</v>
      </c>
      <c r="E40">
        <v>1015</v>
      </c>
      <c r="F40">
        <v>304</v>
      </c>
      <c r="G40">
        <v>30</v>
      </c>
      <c r="H40">
        <v>3.2</v>
      </c>
      <c r="I40" t="s">
        <v>15</v>
      </c>
      <c r="J40" t="s">
        <v>16</v>
      </c>
      <c r="K40">
        <v>75</v>
      </c>
      <c r="L40">
        <v>3.4</v>
      </c>
      <c r="M40">
        <f xml:space="preserve"> Table13[[#This Row],[Online_Sales]] - (Table13[[#This Row],[Marketing_Spend]] + (Table13[[#This Row],[Online_Sales]]*Table13[[#This Row],[Return_Rate]]/100))</f>
        <v>218.66399999999999</v>
      </c>
      <c r="N40" t="str">
        <f xml:space="preserve"> IF(Table13[[#This Row],[YoY_Growth]] &gt; 10,"High", IF(Table13[[#This Row],[YoY_Growth]] &gt; 5,"Medium", "Low"))</f>
        <v>Low</v>
      </c>
      <c r="O40">
        <f xml:space="preserve"> Table13[[#This Row],[Online_Sales]] / Table13[[#This Row],[Marketing_Spend]]</f>
        <v>4.0533333333333337</v>
      </c>
      <c r="P40">
        <f xml:space="preserve"> Table13[[#This Row],[Online_Sales]] /1000</f>
        <v>0.30399999999999999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6F8EE-50A8-4240-AE5D-5D3CC5467443}">
  <dimension ref="A1:N22"/>
  <sheetViews>
    <sheetView topLeftCell="A4" workbookViewId="0">
      <selection activeCell="B19" sqref="B19"/>
    </sheetView>
  </sheetViews>
  <sheetFormatPr defaultRowHeight="15" x14ac:dyDescent="0.25"/>
  <cols>
    <col min="1" max="1" width="20.7109375" bestFit="1" customWidth="1"/>
    <col min="2" max="2" width="19.42578125" bestFit="1" customWidth="1"/>
    <col min="3" max="3" width="22.5703125" bestFit="1" customWidth="1"/>
    <col min="7" max="7" width="16.7109375" bestFit="1" customWidth="1"/>
    <col min="8" max="8" width="19.42578125" bestFit="1" customWidth="1"/>
    <col min="9" max="9" width="24.7109375" bestFit="1" customWidth="1"/>
    <col min="12" max="12" width="13.140625" bestFit="1" customWidth="1"/>
    <col min="13" max="13" width="19.42578125" bestFit="1" customWidth="1"/>
    <col min="14" max="14" width="19" bestFit="1" customWidth="1"/>
  </cols>
  <sheetData>
    <row r="1" spans="1:14" x14ac:dyDescent="0.25">
      <c r="A1" s="1" t="s">
        <v>0</v>
      </c>
      <c r="B1" s="2">
        <v>2023</v>
      </c>
      <c r="L1" s="1" t="s">
        <v>2</v>
      </c>
      <c r="M1" t="s">
        <v>46</v>
      </c>
    </row>
    <row r="2" spans="1:14" x14ac:dyDescent="0.25">
      <c r="A2" s="1" t="s">
        <v>1</v>
      </c>
      <c r="B2" t="s">
        <v>46</v>
      </c>
      <c r="G2" s="1" t="s">
        <v>2</v>
      </c>
      <c r="H2" t="s">
        <v>46</v>
      </c>
    </row>
    <row r="3" spans="1:14" x14ac:dyDescent="0.25">
      <c r="L3" s="1" t="s">
        <v>43</v>
      </c>
      <c r="M3" t="s">
        <v>45</v>
      </c>
      <c r="N3" t="s">
        <v>49</v>
      </c>
    </row>
    <row r="4" spans="1:14" x14ac:dyDescent="0.25">
      <c r="A4" s="1" t="s">
        <v>43</v>
      </c>
      <c r="B4" t="s">
        <v>45</v>
      </c>
      <c r="C4" t="s">
        <v>47</v>
      </c>
      <c r="G4" s="1" t="s">
        <v>43</v>
      </c>
      <c r="H4" t="s">
        <v>45</v>
      </c>
      <c r="I4" t="s">
        <v>48</v>
      </c>
      <c r="L4" s="2">
        <v>2018</v>
      </c>
      <c r="M4" s="6">
        <v>304</v>
      </c>
      <c r="N4" s="5">
        <v>3.2</v>
      </c>
    </row>
    <row r="5" spans="1:14" x14ac:dyDescent="0.25">
      <c r="A5" s="2" t="s">
        <v>13</v>
      </c>
      <c r="B5" s="4">
        <v>2373</v>
      </c>
      <c r="C5" s="4">
        <v>7.5750000000000002</v>
      </c>
      <c r="G5" s="2" t="s">
        <v>31</v>
      </c>
      <c r="H5" s="4">
        <v>1179</v>
      </c>
      <c r="I5" s="5">
        <v>2.2251007326007324</v>
      </c>
      <c r="L5" s="3" t="s">
        <v>12</v>
      </c>
      <c r="M5" s="6">
        <v>304</v>
      </c>
      <c r="N5" s="5">
        <v>3.2</v>
      </c>
    </row>
    <row r="6" spans="1:14" x14ac:dyDescent="0.25">
      <c r="A6" s="3" t="s">
        <v>14</v>
      </c>
      <c r="B6" s="4">
        <v>2373</v>
      </c>
      <c r="C6" s="4">
        <v>7.5750000000000002</v>
      </c>
      <c r="G6" s="3" t="s">
        <v>22</v>
      </c>
      <c r="H6" s="4">
        <v>1179</v>
      </c>
      <c r="I6" s="5">
        <v>2.2251007326007324</v>
      </c>
      <c r="L6" s="2">
        <v>2019</v>
      </c>
      <c r="M6" s="6">
        <v>818</v>
      </c>
      <c r="N6" s="5">
        <v>8.3000000000000007</v>
      </c>
    </row>
    <row r="7" spans="1:14" x14ac:dyDescent="0.25">
      <c r="A7" s="2" t="s">
        <v>23</v>
      </c>
      <c r="B7" s="4">
        <v>3690</v>
      </c>
      <c r="C7" s="4">
        <v>10.540000000000001</v>
      </c>
      <c r="G7" s="2" t="s">
        <v>18</v>
      </c>
      <c r="H7" s="4">
        <v>2982</v>
      </c>
      <c r="I7" s="5">
        <v>5.3715137753256954</v>
      </c>
      <c r="L7" s="3" t="s">
        <v>12</v>
      </c>
      <c r="M7" s="6">
        <v>818</v>
      </c>
      <c r="N7" s="5">
        <v>8.3000000000000007</v>
      </c>
    </row>
    <row r="8" spans="1:14" x14ac:dyDescent="0.25">
      <c r="A8" s="3" t="s">
        <v>26</v>
      </c>
      <c r="B8" s="4">
        <v>1278</v>
      </c>
      <c r="C8" s="4">
        <v>9.3500000000000014</v>
      </c>
      <c r="G8" s="3" t="s">
        <v>19</v>
      </c>
      <c r="H8" s="4">
        <v>2442</v>
      </c>
      <c r="I8" s="5">
        <v>5.6150472996216036</v>
      </c>
      <c r="L8" s="2">
        <v>2020</v>
      </c>
      <c r="M8" s="6">
        <v>880</v>
      </c>
      <c r="N8" s="5">
        <v>-5.7</v>
      </c>
    </row>
    <row r="9" spans="1:14" x14ac:dyDescent="0.25">
      <c r="A9" s="3" t="s">
        <v>24</v>
      </c>
      <c r="B9" s="4">
        <v>2412</v>
      </c>
      <c r="C9" s="4">
        <v>11.333333333333334</v>
      </c>
      <c r="G9" s="3" t="s">
        <v>16</v>
      </c>
      <c r="H9" s="4">
        <v>540</v>
      </c>
      <c r="I9" s="5">
        <v>4.1538461538461542</v>
      </c>
      <c r="L9" s="3" t="s">
        <v>12</v>
      </c>
      <c r="M9" s="6">
        <v>880</v>
      </c>
      <c r="N9" s="5">
        <v>-5.7</v>
      </c>
    </row>
    <row r="10" spans="1:14" x14ac:dyDescent="0.25">
      <c r="A10" s="2" t="s">
        <v>44</v>
      </c>
      <c r="B10" s="4">
        <v>6063</v>
      </c>
      <c r="C10" s="4">
        <v>9.2222222222222214</v>
      </c>
      <c r="G10" s="2" t="s">
        <v>15</v>
      </c>
      <c r="H10" s="4">
        <v>15430</v>
      </c>
      <c r="I10" s="5">
        <v>4.3285755003633328</v>
      </c>
      <c r="L10" s="2">
        <v>2021</v>
      </c>
      <c r="M10" s="6">
        <v>1331</v>
      </c>
      <c r="N10" s="5">
        <v>11.8</v>
      </c>
    </row>
    <row r="11" spans="1:14" x14ac:dyDescent="0.25">
      <c r="G11" s="3" t="s">
        <v>27</v>
      </c>
      <c r="H11" s="4">
        <v>1849</v>
      </c>
      <c r="I11" s="5">
        <v>3.8497712418300654</v>
      </c>
      <c r="L11" s="3" t="s">
        <v>12</v>
      </c>
      <c r="M11" s="6">
        <v>1331</v>
      </c>
      <c r="N11" s="5">
        <v>11.8</v>
      </c>
    </row>
    <row r="12" spans="1:14" x14ac:dyDescent="0.25">
      <c r="G12" s="3" t="s">
        <v>25</v>
      </c>
      <c r="H12" s="4">
        <v>7005</v>
      </c>
      <c r="I12" s="5">
        <v>3.7828891647513232</v>
      </c>
      <c r="L12" s="2">
        <v>2022</v>
      </c>
      <c r="M12" s="6">
        <v>5902</v>
      </c>
      <c r="N12" s="5">
        <v>74.599999999999994</v>
      </c>
    </row>
    <row r="13" spans="1:14" x14ac:dyDescent="0.25">
      <c r="G13" s="3" t="s">
        <v>16</v>
      </c>
      <c r="H13" s="4">
        <v>6576</v>
      </c>
      <c r="I13" s="5">
        <v>4.9008033824657868</v>
      </c>
      <c r="L13" s="3" t="s">
        <v>38</v>
      </c>
      <c r="M13" s="6">
        <v>475</v>
      </c>
      <c r="N13" s="5">
        <v>4.8</v>
      </c>
    </row>
    <row r="14" spans="1:14" x14ac:dyDescent="0.25">
      <c r="G14" s="2" t="s">
        <v>21</v>
      </c>
      <c r="H14" s="4">
        <v>792</v>
      </c>
      <c r="I14" s="5">
        <v>5.1091666666666669</v>
      </c>
      <c r="L14" s="3" t="s">
        <v>37</v>
      </c>
      <c r="M14" s="6">
        <v>1107</v>
      </c>
      <c r="N14" s="5">
        <v>12.5</v>
      </c>
    </row>
    <row r="15" spans="1:14" x14ac:dyDescent="0.25">
      <c r="G15" s="3" t="s">
        <v>22</v>
      </c>
      <c r="H15" s="4">
        <v>792</v>
      </c>
      <c r="I15" s="5">
        <v>5.1091666666666669</v>
      </c>
      <c r="L15" s="3" t="s">
        <v>36</v>
      </c>
      <c r="M15" s="6">
        <v>1168</v>
      </c>
      <c r="N15" s="5">
        <v>13.7</v>
      </c>
    </row>
    <row r="16" spans="1:14" x14ac:dyDescent="0.25">
      <c r="G16" s="2" t="s">
        <v>44</v>
      </c>
      <c r="H16" s="4">
        <v>20383</v>
      </c>
      <c r="I16" s="5">
        <v>4.3133168570641134</v>
      </c>
      <c r="L16" s="3" t="s">
        <v>12</v>
      </c>
      <c r="M16" s="6">
        <v>3152</v>
      </c>
      <c r="N16" s="5">
        <v>43.6</v>
      </c>
    </row>
    <row r="17" spans="12:14" x14ac:dyDescent="0.25">
      <c r="L17" s="2">
        <v>2023</v>
      </c>
      <c r="M17" s="6">
        <v>11148</v>
      </c>
      <c r="N17" s="5">
        <v>164.6</v>
      </c>
    </row>
    <row r="18" spans="12:14" x14ac:dyDescent="0.25">
      <c r="L18" s="3" t="s">
        <v>38</v>
      </c>
      <c r="M18" s="6">
        <v>1010</v>
      </c>
      <c r="N18" s="5">
        <v>12.6</v>
      </c>
    </row>
    <row r="19" spans="12:14" x14ac:dyDescent="0.25">
      <c r="L19" s="3" t="s">
        <v>37</v>
      </c>
      <c r="M19" s="6">
        <v>1798</v>
      </c>
      <c r="N19" s="5">
        <v>23.7</v>
      </c>
    </row>
    <row r="20" spans="12:14" x14ac:dyDescent="0.25">
      <c r="L20" s="3" t="s">
        <v>36</v>
      </c>
      <c r="M20" s="6">
        <v>2891</v>
      </c>
      <c r="N20" s="5">
        <v>39.4</v>
      </c>
    </row>
    <row r="21" spans="12:14" x14ac:dyDescent="0.25">
      <c r="L21" s="3" t="s">
        <v>12</v>
      </c>
      <c r="M21" s="6">
        <v>5449</v>
      </c>
      <c r="N21" s="5">
        <v>88.9</v>
      </c>
    </row>
    <row r="22" spans="12:14" x14ac:dyDescent="0.25">
      <c r="L22" s="2" t="s">
        <v>44</v>
      </c>
      <c r="M22" s="6">
        <v>20383</v>
      </c>
      <c r="N22" s="5">
        <v>256.8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433A3-0D53-4498-B8F2-C454C1D6F1BC}">
  <dimension ref="A1:Q7"/>
  <sheetViews>
    <sheetView topLeftCell="E7" zoomScale="80" zoomScaleNormal="80" workbookViewId="0">
      <selection activeCell="W34" sqref="W34"/>
    </sheetView>
  </sheetViews>
  <sheetFormatPr defaultRowHeight="15" x14ac:dyDescent="0.25"/>
  <cols>
    <col min="1" max="1" width="17.42578125" bestFit="1" customWidth="1"/>
    <col min="2" max="2" width="18.5703125" customWidth="1"/>
    <col min="3" max="3" width="15.85546875" customWidth="1"/>
    <col min="4" max="4" width="13.7109375" customWidth="1"/>
    <col min="12" max="12" width="14" customWidth="1"/>
    <col min="13" max="13" width="13.85546875" customWidth="1"/>
    <col min="14" max="14" width="12.5703125" customWidth="1"/>
    <col min="15" max="15" width="14.7109375" customWidth="1"/>
    <col min="16" max="16" width="15.5703125" customWidth="1"/>
    <col min="17" max="17" width="18.140625" customWidth="1"/>
    <col min="18" max="19" width="11" customWidth="1"/>
    <col min="20" max="20" width="11.28515625" customWidth="1"/>
    <col min="21" max="21" width="13.42578125" customWidth="1"/>
    <col min="22" max="22" width="12.5703125" customWidth="1"/>
  </cols>
  <sheetData>
    <row r="1" spans="1:17" ht="23.25" x14ac:dyDescent="0.35">
      <c r="A1" s="7" t="s">
        <v>53</v>
      </c>
      <c r="B1" s="8" t="s">
        <v>50</v>
      </c>
      <c r="C1" s="8" t="s">
        <v>51</v>
      </c>
      <c r="D1" s="8" t="s">
        <v>52</v>
      </c>
      <c r="L1" t="s">
        <v>54</v>
      </c>
      <c r="M1" t="s">
        <v>55</v>
      </c>
      <c r="N1" t="s">
        <v>56</v>
      </c>
      <c r="O1" t="s">
        <v>57</v>
      </c>
      <c r="P1" t="s">
        <v>64</v>
      </c>
      <c r="Q1" t="s">
        <v>65</v>
      </c>
    </row>
    <row r="2" spans="1:17" ht="23.25" x14ac:dyDescent="0.35">
      <c r="A2" s="9">
        <f>SUM('[1]clean_data '!F:F)</f>
        <v>20383</v>
      </c>
      <c r="B2" s="10">
        <f>6.6/100</f>
        <v>6.6000000000000003E-2</v>
      </c>
      <c r="C2" s="11">
        <f>MAX(4.32,5.41,5.67,4.15,10.22,8.9)</f>
        <v>10.220000000000001</v>
      </c>
      <c r="D2" s="11" t="str">
        <f>_xlfn.XLOOKUP(MAX('[1]clean_data '!F:F),'[1]clean_data '!F:F,'[1]clean_data '!C:C)</f>
        <v>Fashion</v>
      </c>
      <c r="M2" s="12" t="s">
        <v>58</v>
      </c>
    </row>
    <row r="3" spans="1:17" ht="15.75" x14ac:dyDescent="0.25">
      <c r="L3" s="13">
        <v>1</v>
      </c>
      <c r="M3" s="13" t="s">
        <v>59</v>
      </c>
      <c r="N3" s="13"/>
      <c r="O3" s="13"/>
      <c r="P3" s="13"/>
      <c r="Q3" s="13"/>
    </row>
    <row r="4" spans="1:17" ht="15.75" x14ac:dyDescent="0.25">
      <c r="L4" s="13">
        <v>2</v>
      </c>
      <c r="M4" s="13" t="s">
        <v>60</v>
      </c>
      <c r="N4" s="13"/>
      <c r="O4" s="13"/>
      <c r="P4" s="13"/>
      <c r="Q4" s="13"/>
    </row>
    <row r="5" spans="1:17" ht="15.75" x14ac:dyDescent="0.25">
      <c r="L5" s="13">
        <v>3</v>
      </c>
      <c r="M5" s="13" t="s">
        <v>61</v>
      </c>
      <c r="N5" s="13"/>
      <c r="O5" s="13"/>
      <c r="P5" s="13"/>
      <c r="Q5" s="13"/>
    </row>
    <row r="6" spans="1:17" ht="15.75" x14ac:dyDescent="0.25">
      <c r="L6" s="13">
        <v>4</v>
      </c>
      <c r="M6" s="13" t="s">
        <v>62</v>
      </c>
      <c r="N6" s="13"/>
      <c r="O6" s="13"/>
      <c r="P6" s="13"/>
      <c r="Q6" s="13"/>
    </row>
    <row r="7" spans="1:17" ht="15.75" x14ac:dyDescent="0.25">
      <c r="L7" s="13">
        <v>5</v>
      </c>
      <c r="M7" s="13" t="s">
        <v>63</v>
      </c>
      <c r="N7" s="13"/>
      <c r="O7" s="13"/>
      <c r="P7" s="13"/>
      <c r="Q7" s="13"/>
    </row>
  </sheetData>
  <conditionalFormatting sqref="A1:D2">
    <cfRule type="dataBar" priority="1">
      <dataBar>
        <cfvo type="min"/>
        <cfvo type="max"/>
        <color rgb="FF638EC6"/>
      </dataBar>
      <extLst>
        <ext xmlns:x14="http://schemas.microsoft.com/office/spreadsheetml/2009/9/main" uri="{B025F937-C7B1-47D3-B67F-A62EFF666E3E}">
          <x14:id>{C52E33E9-42EF-412E-B2B0-627E8187E38B}</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C52E33E9-42EF-412E-B2B0-627E8187E38B}">
            <x14:dataBar minLength="0" maxLength="100" border="1" negativeBarBorderColorSameAsPositive="0">
              <x14:cfvo type="autoMin"/>
              <x14:cfvo type="autoMax"/>
              <x14:borderColor rgb="FF638EC6"/>
              <x14:negativeFillColor rgb="FFFF0000"/>
              <x14:negativeBorderColor rgb="FFFF0000"/>
              <x14:axisColor rgb="FF000000"/>
            </x14:dataBar>
          </x14:cfRule>
          <xm:sqref>A1:D2</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Row_data</vt:lpstr>
      <vt:lpstr>clean_data </vt:lpstr>
      <vt:lpstr>Pivot_table</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 Kumari</dc:creator>
  <cp:lastModifiedBy>FIRDOSH</cp:lastModifiedBy>
  <dcterms:created xsi:type="dcterms:W3CDTF">2025-09-01T12:11:33Z</dcterms:created>
  <dcterms:modified xsi:type="dcterms:W3CDTF">2026-03-11T08:06:37Z</dcterms:modified>
</cp:coreProperties>
</file>